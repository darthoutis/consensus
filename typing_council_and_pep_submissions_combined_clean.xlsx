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Michael/repos/consensus/"/>
    </mc:Choice>
  </mc:AlternateContent>
  <xr:revisionPtr revIDLastSave="0" documentId="13_ncr:1_{3A787376-4785-FC44-AF20-4938D8DA7EF5}" xr6:coauthVersionLast="47" xr6:coauthVersionMax="47" xr10:uidLastSave="{00000000-0000-0000-0000-000000000000}"/>
  <bookViews>
    <workbookView xWindow="0" yWindow="760" windowWidth="29400" windowHeight="18360" activeTab="1" xr2:uid="{00000000-000D-0000-FFFF-FFFF00000000}"/>
  </bookViews>
  <sheets>
    <sheet name="data" sheetId="1" r:id="rId1"/>
    <sheet name="notes" sheetId="6" r:id="rId2"/>
    <sheet name="rank choice to binary" sheetId="3" r:id="rId3"/>
    <sheet name="Sheet4" sheetId="5" r:id="rId4"/>
    <sheet name="Sheet3" sheetId="4" r:id="rId5"/>
  </sheets>
  <definedNames>
    <definedName name="_xlnm._FilterDatabase" localSheetId="0" hidden="1">data!$A$1:$U$131</definedName>
    <definedName name="_xlnm._FilterDatabase" localSheetId="2" hidden="1">'rank choice to binary'!$A$1:$I$9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2" i="1"/>
  <c r="O54" i="1"/>
  <c r="Q54" i="1" s="1"/>
  <c r="O55" i="1"/>
  <c r="Q55" i="1" s="1"/>
  <c r="O56" i="1"/>
  <c r="Q56" i="1" s="1"/>
  <c r="O57" i="1"/>
  <c r="Q57" i="1" s="1"/>
  <c r="O58" i="1"/>
  <c r="Q58" i="1" s="1"/>
  <c r="O59" i="1"/>
  <c r="Q59" i="1" s="1"/>
  <c r="O53" i="1"/>
  <c r="Q53" i="1" s="1"/>
</calcChain>
</file>

<file path=xl/sharedStrings.xml><?xml version="1.0" encoding="utf-8"?>
<sst xmlns="http://schemas.openxmlformats.org/spreadsheetml/2006/main" count="1323" uniqueCount="383">
  <si>
    <t>Issue #</t>
  </si>
  <si>
    <t>Date</t>
  </si>
  <si>
    <t>Topic / Proposal Title</t>
  </si>
  <si>
    <t>PEP #</t>
  </si>
  <si>
    <t>Vote Link</t>
  </si>
  <si>
    <t>Voting Method</t>
  </si>
  <si>
    <t>Tally Method</t>
  </si>
  <si>
    <t>Yes Votes</t>
  </si>
  <si>
    <t>No Votes</t>
  </si>
  <si>
    <t>Abstain Votes</t>
  </si>
  <si>
    <t>Draft / Text Link (PR)</t>
  </si>
  <si>
    <t>Checkbox Sign-off</t>
  </si>
  <si>
    <t>N/A (No PR linked)</t>
  </si>
  <si>
    <t>2023-11-29</t>
  </si>
  <si>
    <t>Adopt the initial Python typing spec</t>
  </si>
  <si>
    <t>N/A</t>
  </si>
  <si>
    <t>https://github.com/python/typing-council/issues/3</t>
  </si>
  <si>
    <t>https://github.com/python/typing/pull/1517</t>
  </si>
  <si>
    <t>https://discuss.python.org/t/proposed-initial-typing-spec/39389.</t>
  </si>
  <si>
    <t>2024-01-10</t>
  </si>
  <si>
    <t>Allow `NoReturn` to appear outside of function return type annotations</t>
  </si>
  <si>
    <t>https://github.com/python/typing-council/issues/5</t>
  </si>
  <si>
    <t>https://github.com/python/typing/pull/1570</t>
  </si>
  <si>
    <t>2024-01-12</t>
  </si>
  <si>
    <t>Allow unary + in Literal integers</t>
  </si>
  <si>
    <t>https://github.com/python/typing-council/issues/7</t>
  </si>
  <si>
    <t>https://discuss.python.org/t/signed-values-in-literal-type/39919,</t>
  </si>
  <si>
    <t>Do not reject use of covariant or contravariant TypeVars in a function</t>
  </si>
  <si>
    <t>https://github.com/python/typing-council/issues/8</t>
  </si>
  <si>
    <t>https://github.com/python/typing/pull/1576</t>
  </si>
  <si>
    <t>https://discuss.python.org/t/rejecting-the-use-of-a-covariant-contravariant-typevar-in-a-function-or-type-alias/42769/4</t>
  </si>
  <si>
    <t>2024-01-13</t>
  </si>
  <si>
    <t>Treat triple-quoted type annotation expressions as implicitly parenthesized</t>
  </si>
  <si>
    <t>https://github.com/python/typing-council/issues/9</t>
  </si>
  <si>
    <t>https://github.com/python/typing/pull/1578</t>
  </si>
  <si>
    <t>https://discuss.python.org/t/newlines-within-triple-quoted-type-expressions/42833</t>
  </si>
  <si>
    <t>2024-01-16</t>
  </si>
  <si>
    <t>Pep 724 - Formal request to accept</t>
  </si>
  <si>
    <t>https://github.com/python/typing-council/issues/10</t>
  </si>
  <si>
    <t>https://discuss.python.org/t/pep-724-stricter-type-guards/34124</t>
  </si>
  <si>
    <t>2024-01-20</t>
  </si>
  <si>
    <t>Typing spec update for enumerations</t>
  </si>
  <si>
    <t>https://github.com/python/typing-council/issues/11</t>
  </si>
  <si>
    <t>https://github.com/python/typing/pull/1591</t>
  </si>
  <si>
    <t>https://discuss.python.org/t/draft-of-typing-spec-chapter-for-enums/43496/9</t>
  </si>
  <si>
    <t>2024-01-24</t>
  </si>
  <si>
    <t>PEP 696</t>
  </si>
  <si>
    <t>https://github.com/python/typing-council/issues/12</t>
  </si>
  <si>
    <t>https://discuss.python.org/t/pep-696-type-defaults-for-typevarlikes/22569/6</t>
  </si>
  <si>
    <t>Typing spec update for tuples</t>
  </si>
  <si>
    <t>https://github.com/python/typing-council/issues/13</t>
  </si>
  <si>
    <t>https://github.com/python/typing/pull/1599</t>
  </si>
  <si>
    <t>https://discuss.python.org/t/draft-of-typing-spec-chapter-for-tuples/43701</t>
  </si>
  <si>
    <t>2024-02-01</t>
  </si>
  <si>
    <t>Decision on PEP 705</t>
  </si>
  <si>
    <t>https://github.com/python/typing-council/issues/14</t>
  </si>
  <si>
    <t>2024-02-03</t>
  </si>
  <si>
    <t>`@no_type_check` decorator</t>
  </si>
  <si>
    <t>https://github.com/python/typing-council/issues/16</t>
  </si>
  <si>
    <t>https://github.com/python/typing/pull/1615</t>
  </si>
  <si>
    <t>https://discuss.python.org/t/no-type-check-decorator/43119</t>
  </si>
  <si>
    <t>Typing spec update for named tuples</t>
  </si>
  <si>
    <t>https://github.com/python/typing-council/issues/17</t>
  </si>
  <si>
    <t>https://github.com/python/typing/pull/1614</t>
  </si>
  <si>
    <t>https://discuss.python.org/t/draft-of-typing-spec-chapter-for-named-tuples/44519</t>
  </si>
  <si>
    <t>2024-02-10</t>
  </si>
  <si>
    <t>Typing spec change for `Annotated` special form</t>
  </si>
  <si>
    <t>https://github.com/python/typing-council/issues/18</t>
  </si>
  <si>
    <t>https://github.com/python/typing/pull/1618</t>
  </si>
  <si>
    <t>https://discuss.python.org/t/is-annotated-compatible-with-type-t/43898</t>
  </si>
  <si>
    <t>2024-02-11</t>
  </si>
  <si>
    <t>Clarification on pre-3.8 way to specify positional-only parameters</t>
  </si>
  <si>
    <t>https://github.com/python/typing-council/issues/19</t>
  </si>
  <si>
    <t>https://github.com/python/typing/pull/1619</t>
  </si>
  <si>
    <t>https://discuss.python.org/t/ambiguities-about-positional-only-parameters/42328</t>
  </si>
  <si>
    <t>2024-02-21</t>
  </si>
  <si>
    <t>Typing spec change: TypeGuard/bool compatibility</t>
  </si>
  <si>
    <t>https://github.com/python/typing-council/issues/20</t>
  </si>
  <si>
    <t>https://github.com/python/typing/pull/1637</t>
  </si>
  <si>
    <t>https://discuss.python.org/t/compatibility-between-typeguard-and-bool/46364.</t>
  </si>
  <si>
    <t>2024-03-08</t>
  </si>
  <si>
    <t>PEP 742: Narrowing types with TypeIs</t>
  </si>
  <si>
    <t>https://github.com/python/typing-council/issues/21</t>
  </si>
  <si>
    <t>https://discuss.python.org/t/pep-742-narrowing-types-with-typeis/45613.</t>
  </si>
  <si>
    <t>2024-03-14</t>
  </si>
  <si>
    <t>PEP 728: TypedDict with Typed Extra Items</t>
  </si>
  <si>
    <t>https://github.com/python/typing-council/issues/22</t>
  </si>
  <si>
    <t>https://discuss.python.org/t/pep-728-typeddict-with-typed-extra-items/45443/1</t>
  </si>
  <si>
    <t>2024-04-03</t>
  </si>
  <si>
    <t>Typing spec update for Final and dataclasses</t>
  </si>
  <si>
    <t>https://github.com/python/typing-council/issues/24</t>
  </si>
  <si>
    <t>https://github.com/python/typing/pull/1669</t>
  </si>
  <si>
    <t>2024-04-05</t>
  </si>
  <si>
    <t>Typing spec update for constructors</t>
  </si>
  <si>
    <t>https://github.com/python/typing-council/issues/25</t>
  </si>
  <si>
    <t>https://github.com/python/typing/pull/1667</t>
  </si>
  <si>
    <t>https://discuss.python.org/t/draft-typing-spec-chapter-for-constructors/49744/17</t>
  </si>
  <si>
    <t>2024-04-08</t>
  </si>
  <si>
    <t>Typing spec update for defining "type expression" and other terms</t>
  </si>
  <si>
    <t>https://github.com/python/typing-council/issues/26</t>
  </si>
  <si>
    <t>https://discuss.python.org/t/basic-terminology-for-types-and-type-forms/46741.</t>
  </si>
  <si>
    <t>2024-04-20</t>
  </si>
  <si>
    <t>Typing spec update for exceptions / context managers</t>
  </si>
  <si>
    <t>https://github.com/python/typing-council/issues/27</t>
  </si>
  <si>
    <t>https://github.com/python/typing/pull/1718</t>
  </si>
  <si>
    <t>https://discuss.python.org/t/draft-of-typing-spec-chapter-for-exceptions/51002</t>
  </si>
  <si>
    <t>2024-05-04</t>
  </si>
  <si>
    <t>Typing spec update for callables</t>
  </si>
  <si>
    <t>https://github.com/python/typing-council/issues/28</t>
  </si>
  <si>
    <t>https://github.com/python/typing/pull/1723</t>
  </si>
  <si>
    <t>https://discuss.python.org/t/expanded-typing-spec-chapter-for-callables/51486</t>
  </si>
  <si>
    <t>2024-06-11</t>
  </si>
  <si>
    <t>Typing spec update revising typeshed's position in the module resolution order</t>
  </si>
  <si>
    <t>https://github.com/python/typing-council/issues/30</t>
  </si>
  <si>
    <t>https://github.com/python/typing/pull/1772</t>
  </si>
  <si>
    <t>https://discuss.python.org/t/pep-561-s-module-resolution-order-seems-incorrect/55048</t>
  </si>
  <si>
    <t>2024-06-17</t>
  </si>
  <si>
    <t>Typing spec update: core concepts and definitions</t>
  </si>
  <si>
    <t>https://github.com/python/typing-council/issues/31</t>
  </si>
  <si>
    <t>https://github.com/python/typing/pull/1743</t>
  </si>
  <si>
    <t>https://discuss.python.org/t/formalizing-core-definitions-in-the-typing-spec/54785</t>
  </si>
  <si>
    <t>2024-06-18</t>
  </si>
  <si>
    <t>Typing spec update: Improve spec for Annotated</t>
  </si>
  <si>
    <t>https://github.com/python/typing-council/issues/32</t>
  </si>
  <si>
    <t>https://discuss.python.org/t/proposed-spec-changes-for-annotated/55807</t>
  </si>
  <si>
    <t>2024-06-21</t>
  </si>
  <si>
    <t>Typing spec update: PEP 712 `converter` in `dataclasses` Field spec params</t>
  </si>
  <si>
    <t>https://github.com/python/typing-council/issues/33</t>
  </si>
  <si>
    <t>https://github.com/python/typing/pull/1783</t>
  </si>
  <si>
    <t>https://discuss.python.org/t/discuss-adding-converter-to-dataclass-transform/55125</t>
  </si>
  <si>
    <t>2024-08-17</t>
  </si>
  <si>
    <t>Typing spec update: syntax and supported constructs for stub files</t>
  </si>
  <si>
    <t>https://github.com/python/typing-council/issues/34</t>
  </si>
  <si>
    <t>https://github.com/python/typing/pull/1815</t>
  </si>
  <si>
    <t>https://discuss.python.org/t/merging-the-type-stubs-doc-into-the-rest-of-the-typing-documentation/58853</t>
  </si>
  <si>
    <t>2024-08-22</t>
  </si>
  <si>
    <t>Typing spec update: `type[]` distributes over unions</t>
  </si>
  <si>
    <t>https://github.com/python/typing-council/issues/35</t>
  </si>
  <si>
    <t>https://github.com/python/typing/pull/1841</t>
  </si>
  <si>
    <t>https://discuss.python.org/t/specs-clarification-type-a-b-is-equivalent-the-same-as-type-a-type-b/60912</t>
  </si>
  <si>
    <t>2024-09-27</t>
  </si>
  <si>
    <t>Typing spec update: a non-ReadOnly item in a TypedDict cannot be redeclared as ReadOnly</t>
  </si>
  <si>
    <t>https://github.com/python/typing-council/issues/36</t>
  </si>
  <si>
    <t>https://github.com/python/typing/pull/1859</t>
  </si>
  <si>
    <t>https://discuss.python.org/t/can-a-non-readonly-item-in-a-typeddict-be-redeclared-as-readonly/65082</t>
  </si>
  <si>
    <t>2024-10-31</t>
  </si>
  <si>
    <t>Typing spec update: clarifications to user-defined generic classes</t>
  </si>
  <si>
    <t>https://github.com/python/typing-council/issues/38</t>
  </si>
  <si>
    <t>https://github.com/python/typing/pull/1879</t>
  </si>
  <si>
    <t>https://discuss.python.org/t/clarifying-the-rules-for-subclassing-generic-classes/69698</t>
  </si>
  <si>
    <t>2024-12-01</t>
  </si>
  <si>
    <t>Typing spec update: `ClassVar` and `Final` within `TypedDict`</t>
  </si>
  <si>
    <t>https://github.com/python/typing-council/issues/39</t>
  </si>
  <si>
    <t>https://github.com/python/typing/pull/1890</t>
  </si>
  <si>
    <t>https://discuss.python.org/t/72880</t>
  </si>
  <si>
    <t>2025-01-25</t>
  </si>
  <si>
    <t>Typing spec update for overloads</t>
  </si>
  <si>
    <t>https://github.com/python/typing-council/issues/40</t>
  </si>
  <si>
    <t>https://github.com/python/typing/pull/1839</t>
  </si>
  <si>
    <t>https://discuss.python.org/t/draft-typing-spec-chapter-for-overloads/60788</t>
  </si>
  <si>
    <t>2025-03-04</t>
  </si>
  <si>
    <t>Clarification on imports of Final variables</t>
  </si>
  <si>
    <t>https://github.com/python/typing-council/issues/42</t>
  </si>
  <si>
    <t>https://github.com/python/typing/pull/1937</t>
  </si>
  <si>
    <t>2025-03-17</t>
  </si>
  <si>
    <t>Typing specification update: Allow bare `typing.ClassVar` qualifiers</t>
  </si>
  <si>
    <t>https://github.com/python/typing-council/issues/43</t>
  </si>
  <si>
    <t>https://github.com/python/typing/pull/1931</t>
  </si>
  <si>
    <t>https://discuss.python.org/t/81705/9</t>
  </si>
  <si>
    <t>2025-06-17</t>
  </si>
  <si>
    <t>PEP 747: Annotating Type Forms</t>
  </si>
  <si>
    <t>https://github.com/python/typing-council/issues/44</t>
  </si>
  <si>
    <t>https://github.com/python/mypy/pull/18690</t>
  </si>
  <si>
    <t>https://discuss.python.org/t/pep-747-typeexpr-type-hint-for-a-type-expression/55984</t>
  </si>
  <si>
    <t>2025-06-29</t>
  </si>
  <si>
    <t>Spec change: clarify that assert_type() uses equivalence</t>
  </si>
  <si>
    <t>https://github.com/python/typing-council/issues/45</t>
  </si>
  <si>
    <t>https://github.com/python/typing/pull/2011</t>
  </si>
  <si>
    <t>https://discuss.python.org/t/specify-that-assert-type-checks-for-equivalence/92967</t>
  </si>
  <si>
    <t>Spec change: float/int promotion is implemented through implicit unions</t>
  </si>
  <si>
    <t>https://github.com/python/typing-council/issues/46</t>
  </si>
  <si>
    <t>https://github.com/python/typing/pull/1748</t>
  </si>
  <si>
    <t>https://discuss.python.org/t/clarifying-the-float-int-complex-special-case/54018/30</t>
  </si>
  <si>
    <t>2025-07-07</t>
  </si>
  <si>
    <t>Spec change: clarify namedtuple member rules</t>
  </si>
  <si>
    <t>https://github.com/python/typing-council/issues/47</t>
  </si>
  <si>
    <t>https://github.com/python/typing/pull/1979</t>
  </si>
  <si>
    <t>https://discuss.python.org/t/adding-namedtuple-member-naming-rules-to-the-typing-spec/88882</t>
  </si>
  <si>
    <t>2025-08-20</t>
  </si>
  <si>
    <t>Spec change: TypedDict rewrite</t>
  </si>
  <si>
    <t>https://github.com/python/typing-council/issues/48</t>
  </si>
  <si>
    <t>https://github.com/python/typing/pull/2072</t>
  </si>
  <si>
    <t>2026-01-08</t>
  </si>
  <si>
    <t>PEP 800</t>
  </si>
  <si>
    <t>https://github.com/python/typing-council/issues/49</t>
  </si>
  <si>
    <t>https://discuss.python.org/t/pep-800-solid-bases-in-the-type-system/99910</t>
  </si>
  <si>
    <t>2026-01-22</t>
  </si>
  <si>
    <t>Spec change: Clarify that `tuple` should not be prohibited as an argument to `type`</t>
  </si>
  <si>
    <t>https://github.com/python/typing-council/issues/50</t>
  </si>
  <si>
    <t>https://github.com/python/typing/pull/2146</t>
  </si>
  <si>
    <t>https://discuss.python.org/t/spec-change-clarify-that-tuple-should-not-be-prohibited-as-an-argument-to-type/105590</t>
  </si>
  <si>
    <t>2026-01-28</t>
  </si>
  <si>
    <t>Spec change: Change the typing spec around string references</t>
  </si>
  <si>
    <t>https://github.com/python/typing-council/issues/51</t>
  </si>
  <si>
    <t>https://github.com/python/typing/pull/2144</t>
  </si>
  <si>
    <t>https://discuss.python.org/t/annotation-string-references-in-class-scope-in-conformance-tests/105439</t>
  </si>
  <si>
    <t>2026-02-25</t>
  </si>
  <si>
    <t>Spec Change:  Class Access of Self Variables</t>
  </si>
  <si>
    <t>https://github.com/python/typing-council/issues/53</t>
  </si>
  <si>
    <t>https://github.com/python/typing/pull/2148</t>
  </si>
  <si>
    <t>https://discuss.python.org/t/disallow-access-to-class-variables-with-self/105434</t>
  </si>
  <si>
    <t>2026-03-30</t>
  </si>
  <si>
    <t>Spec change: Do not mandate TypeVarTuple inference rules</t>
  </si>
  <si>
    <t>https://github.com/python/typing-council/issues/54</t>
  </si>
  <si>
    <t>https://github.com/python/typing/pull/2203</t>
  </si>
  <si>
    <t>https://discuss.python.org/t/spec-change-inference-with-typevartuple/106394</t>
  </si>
  <si>
    <t>2026-04-15</t>
  </si>
  <si>
    <t>Spec change: ambiguous arguments in overload call evaluation</t>
  </si>
  <si>
    <t>https://github.com/python/typing-council/issues/56</t>
  </si>
  <si>
    <t>https://github.com/python/typing/pull/2250</t>
  </si>
  <si>
    <t>https://discuss.python.org/t/spec-change-ambiguous-arguments-in-overload-call-evaluation/106891</t>
  </si>
  <si>
    <t>2026-04-16</t>
  </si>
  <si>
    <t>Spec change: Allow type checkers to ignore specific error codes</t>
  </si>
  <si>
    <t>https://github.com/python/typing-council/issues/57</t>
  </si>
  <si>
    <t>https://github.com/python/typing/pull/2153</t>
  </si>
  <si>
    <t>https://discuss.python.org/t/allow-type-ignore-mypy-style-error-codes-in-conformance-tests/105433</t>
  </si>
  <si>
    <t>2026-04-17</t>
  </si>
  <si>
    <t>Spec change: explicitly permit (statically known) conditional fields in TypedDict, NamedTuple, Enum, and dataclasses</t>
  </si>
  <si>
    <t>https://github.com/python/typing-council/issues/58</t>
  </si>
  <si>
    <t>https://github.com/python/typing/pull/2263</t>
  </si>
  <si>
    <t>https://discuss.python.org/t/allowing-typeddict-items-to-be-defined-conditionally-via-statically-known-conditions/102973</t>
  </si>
  <si>
    <t>2026-04-23</t>
  </si>
  <si>
    <t>spec change: support variance on parameter specification and type variable tuple</t>
  </si>
  <si>
    <t>https://github.com/python/typing-council/issues/59</t>
  </si>
  <si>
    <t>https://github.com/python/typing/pull/2215</t>
  </si>
  <si>
    <t>2026-08-07</t>
  </si>
  <si>
    <t>Spec change: Do not require an error for a generic class attribute</t>
  </si>
  <si>
    <t>https://github.com/python/typing-council/issues/63</t>
  </si>
  <si>
    <t>https://github.com/python/typing/pull/2008</t>
  </si>
  <si>
    <t>https://discuss.python.org/t/spec-change-do-not-require-an-error-for-a-generic-class-attribute/108456</t>
  </si>
  <si>
    <t>2026-08-15</t>
  </si>
  <si>
    <t>Spec change: Update/clarify rules and tests for TypedDict unpacking into function call</t>
  </si>
  <si>
    <t>https://github.com/python/typing-council/issues/64</t>
  </si>
  <si>
    <t>https://github.com/python/typing/pull/2338</t>
  </si>
  <si>
    <t>https://discuss.python.org/t/spec-change-proposal-updating-clarifying-rules-for-unpacking-typeddicts-in-function-calls/108582</t>
  </si>
  <si>
    <t>2026-08-27</t>
  </si>
  <si>
    <t>Spec change: allow more precise gradual types than Any for ambiguous overload returns</t>
  </si>
  <si>
    <t>https://github.com/python/typing-council/issues/65</t>
  </si>
  <si>
    <t>https://github.com/python/typing/pull/2350</t>
  </si>
  <si>
    <t>https://discuss.python.org/t/permitting-more-precise-inferred-types-from-ambiguous-overloads/108776</t>
  </si>
  <si>
    <t>Straw Poll</t>
  </si>
  <si>
    <t>2018-11-15</t>
  </si>
  <si>
    <t>"Straw poll: Which governance proposals do you like best?" — non-binding sentiment poll across competing post-BDFL governance PEPs</t>
  </si>
  <si>
    <t>8011</t>
  </si>
  <si>
    <t>https://discuss.python.org/t/straw-poll-which-governance-proposals-do-you-like-best/436</t>
  </si>
  <si>
    <t>8012</t>
  </si>
  <si>
    <t>8013</t>
  </si>
  <si>
    <t>8014</t>
  </si>
  <si>
    <t>8015</t>
  </si>
  <si>
    <t>8016</t>
  </si>
  <si>
    <t>2018-12-17</t>
  </si>
  <si>
    <t>Governance vote: PEP 8016 "The Steering Council Model" selected as Python's post-BDFL governance model</t>
  </si>
  <si>
    <t>https://discuss.python.org/t/python-governance-vote-december-2018-results/546</t>
  </si>
  <si>
    <t>2019-10-05</t>
  </si>
  <si>
    <t>"PEP 13 and the number of votes" — discussion/vote on Steering Council ballot rules</t>
  </si>
  <si>
    <t>13</t>
  </si>
  <si>
    <t>https://discuss.python.org/t/pep-13-and-the-number-of-votes/2416</t>
  </si>
  <si>
    <t>2019-10-24</t>
  </si>
  <si>
    <t>Amendment to PEP 13 to allow approval voting for Steering Council elections</t>
  </si>
  <si>
    <t>https://discuss.python.org/t/amendment-to-pep-13-to-allow-approval-voting/2428</t>
  </si>
  <si>
    <t>2020-11-18</t>
  </si>
  <si>
    <t>"Gauging sentiment on pattern matching" — Steering Council straw poll on PEP 634</t>
  </si>
  <si>
    <t>634</t>
  </si>
  <si>
    <t>https://discuss.python.org/t/gauging-sentiment-on-pattern-matching/5770</t>
  </si>
  <si>
    <t>2021-02-09</t>
  </si>
  <si>
    <t>Steering Council accepts Pattern Matching PEPs 634/635/636; rejects PEPs 640 and 642</t>
  </si>
  <si>
    <t>https://mail.python.org/archives/list/python-committers@python.org/message/SQC2FTLFV5A7DV7RCEAR2I2IKJKGK7W3/</t>
  </si>
  <si>
    <t>635</t>
  </si>
  <si>
    <t>636</t>
  </si>
  <si>
    <t>640</t>
  </si>
  <si>
    <t>642</t>
  </si>
  <si>
    <t>2023-06-27</t>
  </si>
  <si>
    <t>Poll: core-dev feedback to the Steering Council on making CPython free-threaded</t>
  </si>
  <si>
    <t>703</t>
  </si>
  <si>
    <t>https://discuss.python.org/t/poll-feedback-to-the-sc-on-making-cpython-free-threaded-and-pep-703/28540</t>
  </si>
  <si>
    <t>2023-10-04</t>
  </si>
  <si>
    <t>PEP 729 "Typing governance process" — creation of the Typing Council discussed/endorsed</t>
  </si>
  <si>
    <t>729</t>
  </si>
  <si>
    <t>https://discuss.python.org/t/pep-729-typing-governance-process/35362</t>
  </si>
  <si>
    <t>2023-10-24</t>
  </si>
  <si>
    <t>PEP 703 (Making the GIL Optional in CPython) formally accepted by the Steering Council</t>
  </si>
  <si>
    <t>https://discuss.python.org/t/pep-703-making-the-global-interpreter-lock-optional-in-cpython-acceptance/37075</t>
  </si>
  <si>
    <t>2024-09-11</t>
  </si>
  <si>
    <t>"How to enact changes to PEP 13" — poll on adopting STAR voting for Steering Council elections</t>
  </si>
  <si>
    <t>https://discuss.python.org/t/how-to-enact-changes-to-pep-13/63636</t>
  </si>
  <si>
    <t>2024-09-25</t>
  </si>
  <si>
    <t>"Changing PEP 13 to adopt Bloc STAR voting" — formal poll to replace approval voting</t>
  </si>
  <si>
    <t>https://discuss.python.org/t/changing-pep-13-to-adopt-bloc-star-voting/64971</t>
  </si>
  <si>
    <t>2024-12-10</t>
  </si>
  <si>
    <t>PEP 13 amendment: added a one-week deadline for seconding a vote of no confidence in a Steering Council member</t>
  </si>
  <si>
    <t>https://discuss.python.org/t/72293/4</t>
  </si>
  <si>
    <t>772</t>
  </si>
  <si>
    <t>2025-08-25</t>
  </si>
  <si>
    <t>PyPA committer vote process finalized for PEP 772 (Packaging Council governance)</t>
  </si>
  <si>
    <t>https://discuss.python.org/t/pypa-committer-vote-process-for-pep-772/103309</t>
  </si>
  <si>
    <t>2025-10-28</t>
  </si>
  <si>
    <t>"[VOTE] Changing PEP 13 to clarify tiebreaking for SC elections" — formal committer vote (closed Nov 12, 2025)</t>
  </si>
  <si>
    <t>https://discuss.python.org/t/vote-changing-pep-13-to-clarify-tiebreaking-for-sc-elections/104607</t>
  </si>
  <si>
    <t>Steering Council formally accepts PEP 772, establishing the Python Packaging Council</t>
  </si>
  <si>
    <t>2026-08-23</t>
  </si>
  <si>
    <t>"Poll: Public/internal handling — what behavior do we want?" — Ideas-category poll shaping PEPs 842, 843 and 844</t>
  </si>
  <si>
    <t>https://discuss.python.org/t/poll-public-internal-handling-what-behavior-do-we-want/108706</t>
  </si>
  <si>
    <t>Has Vote</t>
  </si>
  <si>
    <t>Unanimous Consent</t>
  </si>
  <si>
    <t>Sign-Off</t>
  </si>
  <si>
    <t>Inferred</t>
  </si>
  <si>
    <t>Alternatives</t>
  </si>
  <si>
    <t>Notes</t>
  </si>
  <si>
    <t>Mentions "majority" rejects</t>
  </si>
  <si>
    <t>Mentions "large majority" but not unanimous</t>
  </si>
  <si>
    <t>Rejected due to lack of consensus even though majority supported</t>
  </si>
  <si>
    <t>Closed by default</t>
  </si>
  <si>
    <t>Still open</t>
  </si>
  <si>
    <t>8010</t>
  </si>
  <si>
    <t>Discussion</t>
  </si>
  <si>
    <t>PEP 8016</t>
  </si>
  <si>
    <t>PEP 8012</t>
  </si>
  <si>
    <t>PEP 8011</t>
  </si>
  <si>
    <t>PEP 8015</t>
  </si>
  <si>
    <t>PEP 8014</t>
  </si>
  <si>
    <t>PEP 8010</t>
  </si>
  <si>
    <t>PEP 8013</t>
  </si>
  <si>
    <t>-</t>
  </si>
  <si>
    <t>Option</t>
  </si>
  <si>
    <t>Abstain / Unexpressed Votes</t>
  </si>
  <si>
    <t>Approval Rate (%)</t>
  </si>
  <si>
    <t>Binary Status (&gt;50%)</t>
  </si>
  <si>
    <t>Yes (Approved)</t>
  </si>
  <si>
    <t>Total Expressed Votes</t>
  </si>
  <si>
    <t>Yes (Winner)</t>
  </si>
  <si>
    <t>Round 1</t>
  </si>
  <si>
    <t>Round 2</t>
  </si>
  <si>
    <t>Round 3</t>
  </si>
  <si>
    <t>Round 4</t>
  </si>
  <si>
    <t>Round 5</t>
  </si>
  <si>
    <t>Round 6</t>
  </si>
  <si>
    <t>Round 7</t>
  </si>
  <si>
    <t>Grouping</t>
  </si>
  <si>
    <t>Episode #</t>
  </si>
  <si>
    <t>634+640</t>
  </si>
  <si>
    <t>634+642</t>
  </si>
  <si>
    <t>I want pattern matching, but not as defined in those PEPs</t>
  </si>
  <si>
    <t>Conceptually, do you think we should be actively looking to make Python free-threaded?</t>
  </si>
  <si>
    <t>Do you want to accept and support the maintenance cost of PEP 703?</t>
  </si>
  <si>
    <t>Steering Council accepted</t>
  </si>
  <si>
    <t>13 - one week</t>
  </si>
  <si>
    <t>13 - two week</t>
  </si>
  <si>
    <t>https://mail.python.org/archives/list/pypa-committers@python.org/thread/YNZF25C45KPGZ2DVUOCQ7543B5OATSF6/</t>
  </si>
  <si>
    <t>https://discuss.python.org/t/pep-772-packaging-governance-process/79724
https://discuss.python.org/t/pep-772-packaging-council-governance-process-round-2/93904
https://discuss.python.org/t/pep-772-packaging-council-governance-process-round-3/100181</t>
  </si>
  <si>
    <t>Three rounds of discussion/revisions</t>
  </si>
  <si>
    <t>842-844</t>
  </si>
  <si>
    <t>Question</t>
  </si>
  <si>
    <t>Access to internal names: How should code outside a module access its internal symbols?</t>
  </si>
  <si>
    <t>Default visibility: Should names (e.g. declared functions) be</t>
  </si>
  <si>
    <t>Where/how should the public/internal distinction be declared?</t>
  </si>
  <si>
    <t>Should modules in the same package get direct access to each other’s internals?</t>
  </si>
  <si>
    <t>https://discuss.python.org/t/parameter-specifications-should-have-variance/106452</t>
  </si>
  <si>
    <t>https://discuss.python.org/t/pep-705-read-only-typeddict-items/37867/39</t>
  </si>
  <si>
    <t>https://discuss.python.org/t/treatment-of-final-attributes-in-dataclass-likes/47154</t>
  </si>
  <si>
    <t>https://discuss.python.org/t/revision-of-the-typeddict-spec/102675</t>
  </si>
  <si>
    <t>https://github.com/python/typing/issues/1558</t>
  </si>
  <si>
    <t>https://discuss.python.org/t/pep-772-packaging-council-governance-process-round-3/100181/118
https://discuss.python.org/t/pep-772-packaging-governance-process/79724
https://discuss.python.org/t/pep-772-packaging-council-governance-process-round-2/93904
https://discuss.python.org/t/pep-772-packaging-council-governance-process-round-3/100181</t>
  </si>
  <si>
    <t>Standard Deviation</t>
  </si>
  <si>
    <t>Do nothing is implied (degrees of freedom = 4, not 5)</t>
  </si>
  <si>
    <t>Do nothing is implied (degrees of freedom = 5, not 4)</t>
  </si>
  <si>
    <t>Subtopic</t>
  </si>
  <si>
    <t>Parent/Child</t>
  </si>
  <si>
    <t>Parent</t>
  </si>
  <si>
    <t>Child</t>
  </si>
  <si>
    <t>Where multiple voting options are transposed as multiple yes/no (binary) votes, one option must become the parent to correlate discussion valence and voting valence because of the intractability of pegging discussion comments to individual voting choices in the same thread. Instead one choice becomes the reference (parent) for all comments.  Example: Governance vote: PEP 8016 "The Steering Council Model" selected as Python's post-BDFL governance model. In this case, a rank-choice, minimax vote was converted to multiple rounds of binary votes. A minimax vote is essentially a simulated round robin of multiple binary votes condensed into rank choice. The data can be exploded into pairwise combinations of choices across multiple rounds with the top two constituting the final round (pair).  Each simulated "round" is just a new poll, and each poll/round requires a choice to be the reference or parent choice for the poll.</t>
  </si>
  <si>
    <t>Another example is Poll: core-dev feedback to the Steering Council on making CPython free-threaded. In this case, two distinct polls were given as dimensions (technical and cost) for the same proposal, but the polls were discussed in the same thread. There are two parent/reference choices (one for each poll) but one discussion thread.</t>
  </si>
  <si>
    <r>
      <t xml:space="preserve">For the valence correlation, the sample will be subsetted to include only the decision episode corresponding to a parent/reference choice.  This is because the correlation of valence or sentiment by definition assumes an individual is pegged to a particular choice. For example, in a discussion of multiple PEP choices on a single thread, pegging a comment to a specific PEP, such as PEP 8011, requires a more sophisticated algorithm than assuming that all comments refer to the same choice, such as PEP 8016, which ultimately survives all voting rounds.  If the choices are mutually exclusive, then a comment for PEP 8011 can be translated as a comment </t>
    </r>
    <r>
      <rPr>
        <i/>
        <sz val="11"/>
        <color theme="1"/>
        <rFont val="Calibri"/>
        <family val="2"/>
        <scheme val="minor"/>
      </rPr>
      <t xml:space="preserve">against </t>
    </r>
    <r>
      <rPr>
        <sz val="11"/>
        <color theme="1"/>
        <rFont val="Calibri"/>
        <family val="2"/>
        <scheme val="minor"/>
      </rPr>
      <t>PEP 8016. This also requires target-specific fine-tuning of BERT instead of using VADER, because VADER uses a fixed lexicon that is agnostic to context.</t>
    </r>
  </si>
  <si>
    <t>However, for the spread/SD correlation, the sample does not need to be subsetted, because this analysis is not correlating valence per se but the spread of valence.  We can compare the spread of comments coded on the basis of a primary proposal with the spread of voting results for alternative proposals, because we are simply measuring magnitude, not direction.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</si>
</sst>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sz val="10"/>
      <color theme="1"/>
      <name val="Arial"/>
      <family val="2"/>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7">
    <xf numFmtId="0" fontId="0" fillId="0" borderId="0" xfId="0"/>
    <xf numFmtId="0" fontId="1" fillId="0" borderId="0" xfId="1"/>
    <xf numFmtId="0" fontId="0" fillId="0" borderId="0" xfId="0" quotePrefix="1"/>
    <xf numFmtId="0" fontId="0" fillId="0" borderId="0" xfId="0" applyAlignment="1">
      <alignment wrapText="1"/>
    </xf>
    <xf numFmtId="0" fontId="2" fillId="0" borderId="0" xfId="0" applyFont="1"/>
    <xf numFmtId="10" fontId="2" fillId="0" borderId="0" xfId="0" applyNumberFormat="1" applyFont="1"/>
    <xf numFmtId="0" fontId="1" fillId="0" borderId="0" xfId="1" applyAlignment="1">
      <alignment wrapText="1"/>
    </xf>
  </cellXfs>
  <cellStyles count="2">
    <cellStyle name="Hyperlink" xfId="1" builtinId="8"/>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discuss.python.org/t/pep-772-packaging-governance-process/79724" TargetMode="External"/><Relationship Id="rId1" Type="http://schemas.openxmlformats.org/officeDocument/2006/relationships/hyperlink" Target="https://mail.python.org/archives/list/pypa-committers@python.org/thread/YNZF25C45KPGZ2DVUOCQ7543B5OATSF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31"/>
  <sheetViews>
    <sheetView topLeftCell="F1" workbookViewId="0">
      <pane ySplit="1" topLeftCell="A58" activePane="bottomLeft" state="frozen"/>
      <selection pane="bottomLeft" activeCell="G3" sqref="G3"/>
    </sheetView>
  </sheetViews>
  <sheetFormatPr baseColWidth="10" defaultColWidth="8.83203125" defaultRowHeight="15" x14ac:dyDescent="0.2"/>
  <cols>
    <col min="5" max="5" width="105.6640625" bestFit="1" customWidth="1"/>
    <col min="6" max="7" width="16.5" customWidth="1"/>
    <col min="10" max="10" width="76.6640625" customWidth="1"/>
    <col min="11" max="11" width="100.5" bestFit="1" customWidth="1"/>
    <col min="12" max="12" width="10.1640625" bestFit="1" customWidth="1"/>
    <col min="13" max="13" width="7.6640625" bestFit="1" customWidth="1"/>
    <col min="14" max="14" width="8" bestFit="1" customWidth="1"/>
    <col min="15" max="15" width="7.83203125" bestFit="1" customWidth="1"/>
    <col min="16" max="16" width="11.33203125" bestFit="1" customWidth="1"/>
    <col min="17" max="17" width="15.6640625" bestFit="1" customWidth="1"/>
    <col min="18" max="18" width="11.33203125" customWidth="1"/>
    <col min="20" max="20" width="14.5" bestFit="1" customWidth="1"/>
    <col min="21" max="21" width="23.83203125" bestFit="1" customWidth="1"/>
  </cols>
  <sheetData>
    <row r="1" spans="1:21" x14ac:dyDescent="0.2">
      <c r="A1" t="s">
        <v>348</v>
      </c>
      <c r="B1" t="s">
        <v>347</v>
      </c>
      <c r="C1" t="s">
        <v>0</v>
      </c>
      <c r="D1" t="s">
        <v>1</v>
      </c>
      <c r="E1" t="s">
        <v>2</v>
      </c>
      <c r="F1" t="s">
        <v>375</v>
      </c>
      <c r="G1" t="s">
        <v>376</v>
      </c>
      <c r="H1" t="s">
        <v>3</v>
      </c>
      <c r="I1" t="s">
        <v>361</v>
      </c>
      <c r="J1" t="s">
        <v>4</v>
      </c>
      <c r="K1" t="s">
        <v>324</v>
      </c>
      <c r="L1" t="s">
        <v>316</v>
      </c>
      <c r="M1" t="s">
        <v>312</v>
      </c>
      <c r="N1" t="s">
        <v>7</v>
      </c>
      <c r="O1" t="s">
        <v>8</v>
      </c>
      <c r="P1" t="s">
        <v>9</v>
      </c>
      <c r="Q1" t="s">
        <v>372</v>
      </c>
      <c r="R1" t="s">
        <v>317</v>
      </c>
      <c r="S1" t="s">
        <v>10</v>
      </c>
      <c r="T1" t="s">
        <v>5</v>
      </c>
      <c r="U1" t="s">
        <v>6</v>
      </c>
    </row>
    <row r="2" spans="1:21" x14ac:dyDescent="0.2">
      <c r="A2">
        <v>1</v>
      </c>
      <c r="C2">
        <v>3</v>
      </c>
      <c r="D2" t="s">
        <v>13</v>
      </c>
      <c r="E2" t="s">
        <v>14</v>
      </c>
      <c r="G2" t="s">
        <v>377</v>
      </c>
      <c r="H2" t="s">
        <v>15</v>
      </c>
      <c r="J2" t="s">
        <v>16</v>
      </c>
      <c r="K2" t="s">
        <v>18</v>
      </c>
      <c r="M2">
        <v>1</v>
      </c>
      <c r="N2">
        <v>5</v>
      </c>
      <c r="O2">
        <v>0</v>
      </c>
      <c r="P2">
        <v>0</v>
      </c>
      <c r="Q2">
        <f>SQRT(((N2+O2) / (N2+O2+P2)) - ((N2-O2) / (N2+O2+P2))^2)</f>
        <v>0</v>
      </c>
      <c r="S2" t="s">
        <v>17</v>
      </c>
      <c r="T2" t="s">
        <v>11</v>
      </c>
      <c r="U2" t="s">
        <v>313</v>
      </c>
    </row>
    <row r="3" spans="1:21" x14ac:dyDescent="0.2">
      <c r="A3">
        <v>2</v>
      </c>
      <c r="C3">
        <v>5</v>
      </c>
      <c r="D3" t="s">
        <v>19</v>
      </c>
      <c r="E3" t="s">
        <v>20</v>
      </c>
      <c r="G3" t="s">
        <v>377</v>
      </c>
      <c r="H3" t="s">
        <v>15</v>
      </c>
      <c r="J3" t="s">
        <v>21</v>
      </c>
      <c r="K3" t="s">
        <v>370</v>
      </c>
      <c r="M3">
        <v>1</v>
      </c>
      <c r="N3">
        <v>5</v>
      </c>
      <c r="O3">
        <v>0</v>
      </c>
      <c r="P3">
        <v>0</v>
      </c>
      <c r="Q3">
        <f t="shared" ref="Q3:Q66" si="0">SQRT(((N3+O3) / (N3+O3+P3)) - ((N3-O3) / (N3+O3+P3))^2)</f>
        <v>0</v>
      </c>
      <c r="S3" t="s">
        <v>22</v>
      </c>
      <c r="T3" t="s">
        <v>11</v>
      </c>
      <c r="U3" t="s">
        <v>313</v>
      </c>
    </row>
    <row r="4" spans="1:21" x14ac:dyDescent="0.2">
      <c r="A4">
        <v>3</v>
      </c>
      <c r="C4">
        <v>7</v>
      </c>
      <c r="D4" t="s">
        <v>23</v>
      </c>
      <c r="E4" t="s">
        <v>24</v>
      </c>
      <c r="G4" t="s">
        <v>377</v>
      </c>
      <c r="H4" t="s">
        <v>15</v>
      </c>
      <c r="J4" t="s">
        <v>25</v>
      </c>
      <c r="K4" t="s">
        <v>26</v>
      </c>
      <c r="M4">
        <v>1</v>
      </c>
      <c r="N4">
        <v>5</v>
      </c>
      <c r="O4">
        <v>0</v>
      </c>
      <c r="P4">
        <v>0</v>
      </c>
      <c r="Q4">
        <f t="shared" si="0"/>
        <v>0</v>
      </c>
      <c r="S4" t="s">
        <v>12</v>
      </c>
      <c r="T4" t="s">
        <v>11</v>
      </c>
      <c r="U4" t="s">
        <v>313</v>
      </c>
    </row>
    <row r="5" spans="1:21" x14ac:dyDescent="0.2">
      <c r="A5">
        <v>4</v>
      </c>
      <c r="C5">
        <v>8</v>
      </c>
      <c r="D5" t="s">
        <v>23</v>
      </c>
      <c r="E5" t="s">
        <v>27</v>
      </c>
      <c r="G5" t="s">
        <v>377</v>
      </c>
      <c r="H5" t="s">
        <v>15</v>
      </c>
      <c r="J5" t="s">
        <v>28</v>
      </c>
      <c r="K5" t="s">
        <v>30</v>
      </c>
      <c r="M5">
        <v>1</v>
      </c>
      <c r="N5">
        <v>5</v>
      </c>
      <c r="O5">
        <v>0</v>
      </c>
      <c r="P5">
        <v>0</v>
      </c>
      <c r="Q5">
        <f t="shared" si="0"/>
        <v>0</v>
      </c>
      <c r="S5" t="s">
        <v>29</v>
      </c>
      <c r="T5" t="s">
        <v>11</v>
      </c>
      <c r="U5" t="s">
        <v>314</v>
      </c>
    </row>
    <row r="6" spans="1:21" x14ac:dyDescent="0.2">
      <c r="A6">
        <v>5</v>
      </c>
      <c r="C6">
        <v>9</v>
      </c>
      <c r="D6" t="s">
        <v>31</v>
      </c>
      <c r="E6" t="s">
        <v>32</v>
      </c>
      <c r="G6" t="s">
        <v>377</v>
      </c>
      <c r="H6" t="s">
        <v>15</v>
      </c>
      <c r="J6" t="s">
        <v>33</v>
      </c>
      <c r="K6" t="s">
        <v>35</v>
      </c>
      <c r="M6">
        <v>1</v>
      </c>
      <c r="N6">
        <v>5</v>
      </c>
      <c r="O6">
        <v>0</v>
      </c>
      <c r="P6">
        <v>0</v>
      </c>
      <c r="Q6">
        <f t="shared" si="0"/>
        <v>0</v>
      </c>
      <c r="S6" t="s">
        <v>34</v>
      </c>
      <c r="T6" t="s">
        <v>11</v>
      </c>
      <c r="U6" t="s">
        <v>314</v>
      </c>
    </row>
    <row r="7" spans="1:21" x14ac:dyDescent="0.2">
      <c r="A7">
        <v>6</v>
      </c>
      <c r="C7">
        <v>10</v>
      </c>
      <c r="D7" t="s">
        <v>36</v>
      </c>
      <c r="E7" t="s">
        <v>37</v>
      </c>
      <c r="G7" t="s">
        <v>377</v>
      </c>
      <c r="H7">
        <v>724</v>
      </c>
      <c r="J7" t="s">
        <v>38</v>
      </c>
      <c r="K7" t="s">
        <v>39</v>
      </c>
      <c r="L7">
        <v>1</v>
      </c>
      <c r="M7">
        <v>1</v>
      </c>
      <c r="N7">
        <v>2</v>
      </c>
      <c r="O7">
        <v>3</v>
      </c>
      <c r="P7">
        <v>0</v>
      </c>
      <c r="Q7">
        <f t="shared" si="0"/>
        <v>0.9797958971132712</v>
      </c>
      <c r="R7" t="s">
        <v>318</v>
      </c>
      <c r="S7" t="s">
        <v>12</v>
      </c>
      <c r="T7" t="s">
        <v>11</v>
      </c>
      <c r="U7" t="s">
        <v>315</v>
      </c>
    </row>
    <row r="8" spans="1:21" x14ac:dyDescent="0.2">
      <c r="A8">
        <v>7</v>
      </c>
      <c r="C8">
        <v>11</v>
      </c>
      <c r="D8" t="s">
        <v>40</v>
      </c>
      <c r="E8" t="s">
        <v>41</v>
      </c>
      <c r="G8" t="s">
        <v>377</v>
      </c>
      <c r="H8" t="s">
        <v>15</v>
      </c>
      <c r="J8" t="s">
        <v>42</v>
      </c>
      <c r="K8" t="s">
        <v>44</v>
      </c>
      <c r="M8">
        <v>1</v>
      </c>
      <c r="N8">
        <v>5</v>
      </c>
      <c r="O8">
        <v>0</v>
      </c>
      <c r="P8">
        <v>0</v>
      </c>
      <c r="Q8">
        <f t="shared" si="0"/>
        <v>0</v>
      </c>
      <c r="S8" t="s">
        <v>43</v>
      </c>
      <c r="T8" t="s">
        <v>11</v>
      </c>
      <c r="U8" t="s">
        <v>314</v>
      </c>
    </row>
    <row r="9" spans="1:21" x14ac:dyDescent="0.2">
      <c r="A9">
        <v>8</v>
      </c>
      <c r="C9">
        <v>12</v>
      </c>
      <c r="D9" t="s">
        <v>45</v>
      </c>
      <c r="E9" t="s">
        <v>46</v>
      </c>
      <c r="G9" t="s">
        <v>377</v>
      </c>
      <c r="H9">
        <v>696</v>
      </c>
      <c r="J9" t="s">
        <v>47</v>
      </c>
      <c r="K9" t="s">
        <v>48</v>
      </c>
      <c r="M9">
        <v>1</v>
      </c>
      <c r="N9">
        <v>5</v>
      </c>
      <c r="O9">
        <v>0</v>
      </c>
      <c r="P9">
        <v>0</v>
      </c>
      <c r="Q9">
        <f t="shared" si="0"/>
        <v>0</v>
      </c>
      <c r="S9" t="s">
        <v>12</v>
      </c>
      <c r="T9" t="s">
        <v>11</v>
      </c>
      <c r="U9" t="s">
        <v>313</v>
      </c>
    </row>
    <row r="10" spans="1:21" x14ac:dyDescent="0.2">
      <c r="A10">
        <v>9</v>
      </c>
      <c r="C10">
        <v>13</v>
      </c>
      <c r="D10" t="s">
        <v>45</v>
      </c>
      <c r="E10" t="s">
        <v>49</v>
      </c>
      <c r="G10" t="s">
        <v>377</v>
      </c>
      <c r="H10" t="s">
        <v>15</v>
      </c>
      <c r="J10" t="s">
        <v>50</v>
      </c>
      <c r="K10" t="s">
        <v>52</v>
      </c>
      <c r="M10">
        <v>1</v>
      </c>
      <c r="N10">
        <v>5</v>
      </c>
      <c r="O10">
        <v>0</v>
      </c>
      <c r="P10">
        <v>0</v>
      </c>
      <c r="Q10">
        <f t="shared" si="0"/>
        <v>0</v>
      </c>
      <c r="S10" t="s">
        <v>51</v>
      </c>
      <c r="T10" t="s">
        <v>11</v>
      </c>
      <c r="U10" t="s">
        <v>314</v>
      </c>
    </row>
    <row r="11" spans="1:21" x14ac:dyDescent="0.2">
      <c r="A11">
        <v>10</v>
      </c>
      <c r="C11">
        <v>14</v>
      </c>
      <c r="D11" t="s">
        <v>53</v>
      </c>
      <c r="E11" t="s">
        <v>54</v>
      </c>
      <c r="G11" t="s">
        <v>377</v>
      </c>
      <c r="H11">
        <v>705</v>
      </c>
      <c r="J11" t="s">
        <v>55</v>
      </c>
      <c r="K11" t="s">
        <v>367</v>
      </c>
      <c r="M11">
        <v>1</v>
      </c>
      <c r="N11">
        <v>5</v>
      </c>
      <c r="O11">
        <v>0</v>
      </c>
      <c r="P11">
        <v>0</v>
      </c>
      <c r="Q11">
        <f t="shared" si="0"/>
        <v>0</v>
      </c>
      <c r="S11" t="s">
        <v>12</v>
      </c>
      <c r="T11" t="s">
        <v>11</v>
      </c>
      <c r="U11" t="s">
        <v>313</v>
      </c>
    </row>
    <row r="12" spans="1:21" x14ac:dyDescent="0.2">
      <c r="A12">
        <v>11</v>
      </c>
      <c r="C12">
        <v>16</v>
      </c>
      <c r="D12" t="s">
        <v>56</v>
      </c>
      <c r="E12" t="s">
        <v>57</v>
      </c>
      <c r="G12" t="s">
        <v>377</v>
      </c>
      <c r="H12" t="s">
        <v>15</v>
      </c>
      <c r="J12" t="s">
        <v>58</v>
      </c>
      <c r="K12" t="s">
        <v>60</v>
      </c>
      <c r="M12">
        <v>1</v>
      </c>
      <c r="N12">
        <v>5</v>
      </c>
      <c r="O12">
        <v>0</v>
      </c>
      <c r="P12">
        <v>0</v>
      </c>
      <c r="Q12">
        <f t="shared" si="0"/>
        <v>0</v>
      </c>
      <c r="S12" t="s">
        <v>59</v>
      </c>
      <c r="T12" t="s">
        <v>11</v>
      </c>
      <c r="U12" t="s">
        <v>314</v>
      </c>
    </row>
    <row r="13" spans="1:21" x14ac:dyDescent="0.2">
      <c r="A13">
        <v>12</v>
      </c>
      <c r="C13">
        <v>17</v>
      </c>
      <c r="D13" t="s">
        <v>56</v>
      </c>
      <c r="E13" t="s">
        <v>61</v>
      </c>
      <c r="G13" t="s">
        <v>377</v>
      </c>
      <c r="H13" t="s">
        <v>15</v>
      </c>
      <c r="J13" t="s">
        <v>62</v>
      </c>
      <c r="K13" t="s">
        <v>64</v>
      </c>
      <c r="M13">
        <v>1</v>
      </c>
      <c r="N13">
        <v>5</v>
      </c>
      <c r="O13">
        <v>0</v>
      </c>
      <c r="P13">
        <v>0</v>
      </c>
      <c r="Q13">
        <f t="shared" si="0"/>
        <v>0</v>
      </c>
      <c r="S13" t="s">
        <v>63</v>
      </c>
      <c r="T13" t="s">
        <v>11</v>
      </c>
      <c r="U13" t="s">
        <v>314</v>
      </c>
    </row>
    <row r="14" spans="1:21" x14ac:dyDescent="0.2">
      <c r="A14">
        <v>13</v>
      </c>
      <c r="C14">
        <v>18</v>
      </c>
      <c r="D14" t="s">
        <v>65</v>
      </c>
      <c r="E14" t="s">
        <v>66</v>
      </c>
      <c r="G14" t="s">
        <v>377</v>
      </c>
      <c r="H14" t="s">
        <v>15</v>
      </c>
      <c r="J14" t="s">
        <v>67</v>
      </c>
      <c r="K14" t="s">
        <v>69</v>
      </c>
      <c r="M14">
        <v>1</v>
      </c>
      <c r="N14">
        <v>5</v>
      </c>
      <c r="O14">
        <v>0</v>
      </c>
      <c r="P14">
        <v>0</v>
      </c>
      <c r="Q14">
        <f t="shared" si="0"/>
        <v>0</v>
      </c>
      <c r="S14" t="s">
        <v>68</v>
      </c>
      <c r="T14" t="s">
        <v>11</v>
      </c>
      <c r="U14" t="s">
        <v>314</v>
      </c>
    </row>
    <row r="15" spans="1:21" x14ac:dyDescent="0.2">
      <c r="A15">
        <v>14</v>
      </c>
      <c r="C15">
        <v>19</v>
      </c>
      <c r="D15" t="s">
        <v>70</v>
      </c>
      <c r="E15" t="s">
        <v>71</v>
      </c>
      <c r="G15" t="s">
        <v>377</v>
      </c>
      <c r="H15" t="s">
        <v>15</v>
      </c>
      <c r="J15" t="s">
        <v>72</v>
      </c>
      <c r="K15" t="s">
        <v>74</v>
      </c>
      <c r="M15">
        <v>1</v>
      </c>
      <c r="N15">
        <v>5</v>
      </c>
      <c r="O15">
        <v>0</v>
      </c>
      <c r="P15">
        <v>0</v>
      </c>
      <c r="Q15">
        <f t="shared" si="0"/>
        <v>0</v>
      </c>
      <c r="S15" t="s">
        <v>73</v>
      </c>
      <c r="T15" t="s">
        <v>11</v>
      </c>
      <c r="U15" t="s">
        <v>314</v>
      </c>
    </row>
    <row r="16" spans="1:21" x14ac:dyDescent="0.2">
      <c r="A16">
        <v>15</v>
      </c>
      <c r="C16">
        <v>20</v>
      </c>
      <c r="D16" t="s">
        <v>75</v>
      </c>
      <c r="E16" t="s">
        <v>76</v>
      </c>
      <c r="G16" t="s">
        <v>377</v>
      </c>
      <c r="H16" t="s">
        <v>15</v>
      </c>
      <c r="J16" t="s">
        <v>77</v>
      </c>
      <c r="K16" t="s">
        <v>79</v>
      </c>
      <c r="M16">
        <v>1</v>
      </c>
      <c r="N16">
        <v>5</v>
      </c>
      <c r="O16">
        <v>0</v>
      </c>
      <c r="P16">
        <v>0</v>
      </c>
      <c r="Q16">
        <f t="shared" si="0"/>
        <v>0</v>
      </c>
      <c r="S16" t="s">
        <v>78</v>
      </c>
      <c r="T16" t="s">
        <v>11</v>
      </c>
      <c r="U16" t="s">
        <v>314</v>
      </c>
    </row>
    <row r="17" spans="1:21" x14ac:dyDescent="0.2">
      <c r="A17">
        <v>16</v>
      </c>
      <c r="C17">
        <v>21</v>
      </c>
      <c r="D17" t="s">
        <v>80</v>
      </c>
      <c r="E17" t="s">
        <v>81</v>
      </c>
      <c r="G17" t="s">
        <v>377</v>
      </c>
      <c r="H17">
        <v>742</v>
      </c>
      <c r="J17" t="s">
        <v>82</v>
      </c>
      <c r="K17" t="s">
        <v>83</v>
      </c>
      <c r="M17">
        <v>1</v>
      </c>
      <c r="N17">
        <v>4</v>
      </c>
      <c r="O17">
        <v>1</v>
      </c>
      <c r="P17">
        <v>0</v>
      </c>
      <c r="Q17">
        <f t="shared" si="0"/>
        <v>0.8</v>
      </c>
      <c r="R17" t="s">
        <v>319</v>
      </c>
      <c r="S17" t="s">
        <v>12</v>
      </c>
      <c r="T17" t="s">
        <v>11</v>
      </c>
      <c r="U17" t="s">
        <v>315</v>
      </c>
    </row>
    <row r="18" spans="1:21" x14ac:dyDescent="0.2">
      <c r="A18">
        <v>17</v>
      </c>
      <c r="C18">
        <v>22</v>
      </c>
      <c r="D18" t="s">
        <v>84</v>
      </c>
      <c r="E18" t="s">
        <v>85</v>
      </c>
      <c r="G18" t="s">
        <v>377</v>
      </c>
      <c r="H18">
        <v>728</v>
      </c>
      <c r="J18" t="s">
        <v>86</v>
      </c>
      <c r="K18" t="s">
        <v>87</v>
      </c>
      <c r="M18">
        <v>1</v>
      </c>
      <c r="N18">
        <v>5</v>
      </c>
      <c r="O18">
        <v>0</v>
      </c>
      <c r="P18">
        <v>0</v>
      </c>
      <c r="Q18">
        <f t="shared" si="0"/>
        <v>0</v>
      </c>
      <c r="S18" t="s">
        <v>12</v>
      </c>
      <c r="T18" t="s">
        <v>11</v>
      </c>
      <c r="U18" t="s">
        <v>313</v>
      </c>
    </row>
    <row r="19" spans="1:21" x14ac:dyDescent="0.2">
      <c r="A19">
        <v>18</v>
      </c>
      <c r="C19">
        <v>24</v>
      </c>
      <c r="D19" t="s">
        <v>88</v>
      </c>
      <c r="E19" t="s">
        <v>89</v>
      </c>
      <c r="G19" t="s">
        <v>377</v>
      </c>
      <c r="H19" t="s">
        <v>15</v>
      </c>
      <c r="J19" t="s">
        <v>90</v>
      </c>
      <c r="K19" t="s">
        <v>368</v>
      </c>
      <c r="M19">
        <v>1</v>
      </c>
      <c r="N19">
        <v>5</v>
      </c>
      <c r="O19">
        <v>0</v>
      </c>
      <c r="P19">
        <v>0</v>
      </c>
      <c r="Q19">
        <f t="shared" si="0"/>
        <v>0</v>
      </c>
      <c r="S19" t="s">
        <v>91</v>
      </c>
      <c r="T19" t="s">
        <v>11</v>
      </c>
      <c r="U19" t="s">
        <v>314</v>
      </c>
    </row>
    <row r="20" spans="1:21" x14ac:dyDescent="0.2">
      <c r="A20">
        <v>19</v>
      </c>
      <c r="C20">
        <v>25</v>
      </c>
      <c r="D20" t="s">
        <v>92</v>
      </c>
      <c r="E20" t="s">
        <v>93</v>
      </c>
      <c r="G20" t="s">
        <v>377</v>
      </c>
      <c r="H20" t="s">
        <v>15</v>
      </c>
      <c r="J20" t="s">
        <v>94</v>
      </c>
      <c r="K20" t="s">
        <v>96</v>
      </c>
      <c r="M20">
        <v>1</v>
      </c>
      <c r="N20">
        <v>5</v>
      </c>
      <c r="O20">
        <v>0</v>
      </c>
      <c r="P20">
        <v>0</v>
      </c>
      <c r="Q20">
        <f t="shared" si="0"/>
        <v>0</v>
      </c>
      <c r="S20" t="s">
        <v>95</v>
      </c>
      <c r="T20" t="s">
        <v>11</v>
      </c>
      <c r="U20" t="s">
        <v>314</v>
      </c>
    </row>
    <row r="21" spans="1:21" x14ac:dyDescent="0.2">
      <c r="A21">
        <v>20</v>
      </c>
      <c r="C21">
        <v>26</v>
      </c>
      <c r="D21" t="s">
        <v>97</v>
      </c>
      <c r="E21" t="s">
        <v>98</v>
      </c>
      <c r="G21" t="s">
        <v>377</v>
      </c>
      <c r="H21" t="s">
        <v>15</v>
      </c>
      <c r="J21" t="s">
        <v>99</v>
      </c>
      <c r="K21" t="s">
        <v>100</v>
      </c>
      <c r="M21">
        <v>1</v>
      </c>
      <c r="N21">
        <v>5</v>
      </c>
      <c r="O21">
        <v>0</v>
      </c>
      <c r="P21">
        <v>0</v>
      </c>
      <c r="Q21">
        <f t="shared" si="0"/>
        <v>0</v>
      </c>
      <c r="S21" t="s">
        <v>12</v>
      </c>
      <c r="T21" t="s">
        <v>11</v>
      </c>
      <c r="U21" t="s">
        <v>314</v>
      </c>
    </row>
    <row r="22" spans="1:21" x14ac:dyDescent="0.2">
      <c r="A22">
        <v>21</v>
      </c>
      <c r="C22">
        <v>27</v>
      </c>
      <c r="D22" t="s">
        <v>101</v>
      </c>
      <c r="E22" t="s">
        <v>102</v>
      </c>
      <c r="G22" t="s">
        <v>377</v>
      </c>
      <c r="H22" t="s">
        <v>15</v>
      </c>
      <c r="J22" t="s">
        <v>103</v>
      </c>
      <c r="K22" t="s">
        <v>105</v>
      </c>
      <c r="M22">
        <v>1</v>
      </c>
      <c r="N22">
        <v>5</v>
      </c>
      <c r="O22">
        <v>0</v>
      </c>
      <c r="P22">
        <v>0</v>
      </c>
      <c r="Q22">
        <f t="shared" si="0"/>
        <v>0</v>
      </c>
      <c r="S22" t="s">
        <v>104</v>
      </c>
      <c r="T22" t="s">
        <v>11</v>
      </c>
      <c r="U22" t="s">
        <v>314</v>
      </c>
    </row>
    <row r="23" spans="1:21" x14ac:dyDescent="0.2">
      <c r="A23">
        <v>22</v>
      </c>
      <c r="C23">
        <v>28</v>
      </c>
      <c r="D23" t="s">
        <v>106</v>
      </c>
      <c r="E23" t="s">
        <v>107</v>
      </c>
      <c r="G23" t="s">
        <v>377</v>
      </c>
      <c r="H23" t="s">
        <v>15</v>
      </c>
      <c r="J23" t="s">
        <v>108</v>
      </c>
      <c r="K23" t="s">
        <v>110</v>
      </c>
      <c r="M23">
        <v>1</v>
      </c>
      <c r="N23">
        <v>5</v>
      </c>
      <c r="O23">
        <v>0</v>
      </c>
      <c r="P23">
        <v>0</v>
      </c>
      <c r="Q23">
        <f t="shared" si="0"/>
        <v>0</v>
      </c>
      <c r="S23" t="s">
        <v>109</v>
      </c>
      <c r="T23" t="s">
        <v>11</v>
      </c>
      <c r="U23" t="s">
        <v>314</v>
      </c>
    </row>
    <row r="24" spans="1:21" x14ac:dyDescent="0.2">
      <c r="A24">
        <v>23</v>
      </c>
      <c r="C24">
        <v>30</v>
      </c>
      <c r="D24" t="s">
        <v>111</v>
      </c>
      <c r="E24" t="s">
        <v>112</v>
      </c>
      <c r="G24" t="s">
        <v>377</v>
      </c>
      <c r="H24" t="s">
        <v>15</v>
      </c>
      <c r="J24" t="s">
        <v>113</v>
      </c>
      <c r="K24" t="s">
        <v>115</v>
      </c>
      <c r="M24">
        <v>1</v>
      </c>
      <c r="N24">
        <v>5</v>
      </c>
      <c r="O24">
        <v>0</v>
      </c>
      <c r="P24">
        <v>0</v>
      </c>
      <c r="Q24">
        <f t="shared" si="0"/>
        <v>0</v>
      </c>
      <c r="S24" t="s">
        <v>114</v>
      </c>
      <c r="T24" t="s">
        <v>11</v>
      </c>
      <c r="U24" t="s">
        <v>314</v>
      </c>
    </row>
    <row r="25" spans="1:21" x14ac:dyDescent="0.2">
      <c r="A25">
        <v>24</v>
      </c>
      <c r="C25">
        <v>31</v>
      </c>
      <c r="D25" t="s">
        <v>116</v>
      </c>
      <c r="E25" t="s">
        <v>117</v>
      </c>
      <c r="G25" t="s">
        <v>377</v>
      </c>
      <c r="H25" t="s">
        <v>15</v>
      </c>
      <c r="J25" t="s">
        <v>118</v>
      </c>
      <c r="K25" t="s">
        <v>120</v>
      </c>
      <c r="M25">
        <v>1</v>
      </c>
      <c r="N25">
        <v>5</v>
      </c>
      <c r="O25">
        <v>0</v>
      </c>
      <c r="P25">
        <v>0</v>
      </c>
      <c r="Q25">
        <f t="shared" si="0"/>
        <v>0</v>
      </c>
      <c r="S25" t="s">
        <v>119</v>
      </c>
      <c r="T25" t="s">
        <v>11</v>
      </c>
      <c r="U25" t="s">
        <v>314</v>
      </c>
    </row>
    <row r="26" spans="1:21" x14ac:dyDescent="0.2">
      <c r="A26">
        <v>25</v>
      </c>
      <c r="C26">
        <v>32</v>
      </c>
      <c r="D26" t="s">
        <v>121</v>
      </c>
      <c r="E26" t="s">
        <v>122</v>
      </c>
      <c r="G26" t="s">
        <v>377</v>
      </c>
      <c r="H26" t="s">
        <v>15</v>
      </c>
      <c r="J26" t="s">
        <v>123</v>
      </c>
      <c r="K26" t="s">
        <v>124</v>
      </c>
      <c r="M26">
        <v>1</v>
      </c>
      <c r="N26">
        <v>5</v>
      </c>
      <c r="O26">
        <v>0</v>
      </c>
      <c r="P26">
        <v>0</v>
      </c>
      <c r="Q26">
        <f t="shared" si="0"/>
        <v>0</v>
      </c>
      <c r="S26" t="s">
        <v>12</v>
      </c>
      <c r="T26" t="s">
        <v>11</v>
      </c>
      <c r="U26" t="s">
        <v>314</v>
      </c>
    </row>
    <row r="27" spans="1:21" x14ac:dyDescent="0.2">
      <c r="A27">
        <v>26</v>
      </c>
      <c r="C27">
        <v>33</v>
      </c>
      <c r="D27" t="s">
        <v>125</v>
      </c>
      <c r="E27" t="s">
        <v>126</v>
      </c>
      <c r="G27" t="s">
        <v>377</v>
      </c>
      <c r="H27">
        <v>712</v>
      </c>
      <c r="J27" t="s">
        <v>127</v>
      </c>
      <c r="K27" t="s">
        <v>129</v>
      </c>
      <c r="M27">
        <v>1</v>
      </c>
      <c r="N27">
        <v>5</v>
      </c>
      <c r="O27">
        <v>0</v>
      </c>
      <c r="P27">
        <v>0</v>
      </c>
      <c r="Q27">
        <f t="shared" si="0"/>
        <v>0</v>
      </c>
      <c r="S27" t="s">
        <v>128</v>
      </c>
      <c r="T27" t="s">
        <v>11</v>
      </c>
      <c r="U27" t="s">
        <v>314</v>
      </c>
    </row>
    <row r="28" spans="1:21" x14ac:dyDescent="0.2">
      <c r="A28">
        <v>27</v>
      </c>
      <c r="C28">
        <v>34</v>
      </c>
      <c r="D28" t="s">
        <v>130</v>
      </c>
      <c r="E28" t="s">
        <v>131</v>
      </c>
      <c r="G28" t="s">
        <v>377</v>
      </c>
      <c r="H28" t="s">
        <v>15</v>
      </c>
      <c r="J28" t="s">
        <v>132</v>
      </c>
      <c r="K28" t="s">
        <v>134</v>
      </c>
      <c r="M28">
        <v>1</v>
      </c>
      <c r="N28">
        <v>5</v>
      </c>
      <c r="O28">
        <v>0</v>
      </c>
      <c r="P28">
        <v>0</v>
      </c>
      <c r="Q28">
        <f t="shared" si="0"/>
        <v>0</v>
      </c>
      <c r="S28" t="s">
        <v>133</v>
      </c>
      <c r="T28" t="s">
        <v>11</v>
      </c>
      <c r="U28" t="s">
        <v>314</v>
      </c>
    </row>
    <row r="29" spans="1:21" x14ac:dyDescent="0.2">
      <c r="A29">
        <v>28</v>
      </c>
      <c r="C29">
        <v>35</v>
      </c>
      <c r="D29" t="s">
        <v>135</v>
      </c>
      <c r="E29" t="s">
        <v>136</v>
      </c>
      <c r="G29" t="s">
        <v>377</v>
      </c>
      <c r="H29" t="s">
        <v>15</v>
      </c>
      <c r="J29" t="s">
        <v>137</v>
      </c>
      <c r="K29" t="s">
        <v>139</v>
      </c>
      <c r="M29">
        <v>1</v>
      </c>
      <c r="N29">
        <v>5</v>
      </c>
      <c r="O29">
        <v>0</v>
      </c>
      <c r="P29">
        <v>0</v>
      </c>
      <c r="Q29">
        <f t="shared" si="0"/>
        <v>0</v>
      </c>
      <c r="S29" t="s">
        <v>138</v>
      </c>
      <c r="T29" t="s">
        <v>11</v>
      </c>
      <c r="U29" t="s">
        <v>314</v>
      </c>
    </row>
    <row r="30" spans="1:21" x14ac:dyDescent="0.2">
      <c r="A30">
        <v>29</v>
      </c>
      <c r="C30">
        <v>36</v>
      </c>
      <c r="D30" t="s">
        <v>140</v>
      </c>
      <c r="E30" t="s">
        <v>141</v>
      </c>
      <c r="G30" t="s">
        <v>377</v>
      </c>
      <c r="H30" t="s">
        <v>15</v>
      </c>
      <c r="J30" t="s">
        <v>142</v>
      </c>
      <c r="K30" t="s">
        <v>144</v>
      </c>
      <c r="M30">
        <v>1</v>
      </c>
      <c r="N30">
        <v>5</v>
      </c>
      <c r="O30">
        <v>0</v>
      </c>
      <c r="P30">
        <v>0</v>
      </c>
      <c r="Q30">
        <f t="shared" si="0"/>
        <v>0</v>
      </c>
      <c r="S30" t="s">
        <v>143</v>
      </c>
      <c r="T30" t="s">
        <v>11</v>
      </c>
      <c r="U30" t="s">
        <v>314</v>
      </c>
    </row>
    <row r="31" spans="1:21" x14ac:dyDescent="0.2">
      <c r="A31">
        <v>30</v>
      </c>
      <c r="C31">
        <v>38</v>
      </c>
      <c r="D31" t="s">
        <v>145</v>
      </c>
      <c r="E31" t="s">
        <v>146</v>
      </c>
      <c r="G31" t="s">
        <v>377</v>
      </c>
      <c r="H31" t="s">
        <v>15</v>
      </c>
      <c r="J31" t="s">
        <v>147</v>
      </c>
      <c r="K31" t="s">
        <v>149</v>
      </c>
      <c r="M31">
        <v>1</v>
      </c>
      <c r="N31">
        <v>5</v>
      </c>
      <c r="O31">
        <v>0</v>
      </c>
      <c r="P31">
        <v>0</v>
      </c>
      <c r="Q31">
        <f t="shared" si="0"/>
        <v>0</v>
      </c>
      <c r="S31" t="s">
        <v>148</v>
      </c>
      <c r="T31" t="s">
        <v>11</v>
      </c>
      <c r="U31" t="s">
        <v>314</v>
      </c>
    </row>
    <row r="32" spans="1:21" x14ac:dyDescent="0.2">
      <c r="A32">
        <v>31</v>
      </c>
      <c r="C32">
        <v>39</v>
      </c>
      <c r="D32" t="s">
        <v>150</v>
      </c>
      <c r="E32" t="s">
        <v>151</v>
      </c>
      <c r="G32" t="s">
        <v>377</v>
      </c>
      <c r="H32" t="s">
        <v>15</v>
      </c>
      <c r="J32" t="s">
        <v>152</v>
      </c>
      <c r="K32" t="s">
        <v>154</v>
      </c>
      <c r="M32">
        <v>1</v>
      </c>
      <c r="N32">
        <v>5</v>
      </c>
      <c r="O32">
        <v>0</v>
      </c>
      <c r="P32">
        <v>0</v>
      </c>
      <c r="Q32">
        <f t="shared" si="0"/>
        <v>0</v>
      </c>
      <c r="S32" t="s">
        <v>153</v>
      </c>
      <c r="T32" t="s">
        <v>11</v>
      </c>
      <c r="U32" t="s">
        <v>314</v>
      </c>
    </row>
    <row r="33" spans="1:21" x14ac:dyDescent="0.2">
      <c r="A33">
        <v>32</v>
      </c>
      <c r="C33">
        <v>40</v>
      </c>
      <c r="D33" t="s">
        <v>155</v>
      </c>
      <c r="E33" t="s">
        <v>156</v>
      </c>
      <c r="G33" t="s">
        <v>377</v>
      </c>
      <c r="H33" t="s">
        <v>15</v>
      </c>
      <c r="J33" t="s">
        <v>157</v>
      </c>
      <c r="K33" t="s">
        <v>159</v>
      </c>
      <c r="M33">
        <v>1</v>
      </c>
      <c r="N33">
        <v>5</v>
      </c>
      <c r="O33">
        <v>0</v>
      </c>
      <c r="P33">
        <v>0</v>
      </c>
      <c r="Q33">
        <f t="shared" si="0"/>
        <v>0</v>
      </c>
      <c r="S33" t="s">
        <v>158</v>
      </c>
      <c r="T33" t="s">
        <v>11</v>
      </c>
      <c r="U33" t="s">
        <v>314</v>
      </c>
    </row>
    <row r="34" spans="1:21" x14ac:dyDescent="0.2">
      <c r="A34">
        <v>33</v>
      </c>
      <c r="C34">
        <v>42</v>
      </c>
      <c r="D34" t="s">
        <v>160</v>
      </c>
      <c r="E34" t="s">
        <v>161</v>
      </c>
      <c r="G34" t="s">
        <v>377</v>
      </c>
      <c r="H34">
        <v>591</v>
      </c>
      <c r="J34" t="s">
        <v>162</v>
      </c>
      <c r="K34" t="s">
        <v>139</v>
      </c>
      <c r="M34">
        <v>1</v>
      </c>
      <c r="N34">
        <v>5</v>
      </c>
      <c r="O34">
        <v>0</v>
      </c>
      <c r="P34">
        <v>0</v>
      </c>
      <c r="Q34">
        <f t="shared" si="0"/>
        <v>0</v>
      </c>
      <c r="S34" t="s">
        <v>163</v>
      </c>
      <c r="T34" t="s">
        <v>11</v>
      </c>
      <c r="U34" t="s">
        <v>314</v>
      </c>
    </row>
    <row r="35" spans="1:21" x14ac:dyDescent="0.2">
      <c r="A35">
        <v>34</v>
      </c>
      <c r="C35">
        <v>43</v>
      </c>
      <c r="D35" t="s">
        <v>164</v>
      </c>
      <c r="E35" t="s">
        <v>165</v>
      </c>
      <c r="G35" t="s">
        <v>377</v>
      </c>
      <c r="H35" t="s">
        <v>15</v>
      </c>
      <c r="J35" t="s">
        <v>166</v>
      </c>
      <c r="K35" t="s">
        <v>168</v>
      </c>
      <c r="M35">
        <v>1</v>
      </c>
      <c r="N35">
        <v>5</v>
      </c>
      <c r="O35">
        <v>0</v>
      </c>
      <c r="P35">
        <v>0</v>
      </c>
      <c r="Q35">
        <f t="shared" si="0"/>
        <v>0</v>
      </c>
      <c r="S35" t="s">
        <v>167</v>
      </c>
      <c r="T35" t="s">
        <v>11</v>
      </c>
      <c r="U35" t="s">
        <v>314</v>
      </c>
    </row>
    <row r="36" spans="1:21" x14ac:dyDescent="0.2">
      <c r="A36">
        <v>35</v>
      </c>
      <c r="C36">
        <v>44</v>
      </c>
      <c r="D36" t="s">
        <v>169</v>
      </c>
      <c r="E36" t="s">
        <v>170</v>
      </c>
      <c r="G36" t="s">
        <v>377</v>
      </c>
      <c r="H36">
        <v>747</v>
      </c>
      <c r="J36" t="s">
        <v>171</v>
      </c>
      <c r="K36" t="s">
        <v>173</v>
      </c>
      <c r="M36">
        <v>1</v>
      </c>
      <c r="N36">
        <v>5</v>
      </c>
      <c r="O36">
        <v>0</v>
      </c>
      <c r="P36">
        <v>0</v>
      </c>
      <c r="Q36">
        <f t="shared" si="0"/>
        <v>0</v>
      </c>
      <c r="S36" t="s">
        <v>172</v>
      </c>
      <c r="T36" t="s">
        <v>11</v>
      </c>
      <c r="U36" t="s">
        <v>313</v>
      </c>
    </row>
    <row r="37" spans="1:21" x14ac:dyDescent="0.2">
      <c r="A37">
        <v>36</v>
      </c>
      <c r="C37">
        <v>45</v>
      </c>
      <c r="D37" t="s">
        <v>174</v>
      </c>
      <c r="E37" t="s">
        <v>175</v>
      </c>
      <c r="G37" t="s">
        <v>377</v>
      </c>
      <c r="H37" t="s">
        <v>15</v>
      </c>
      <c r="J37" t="s">
        <v>176</v>
      </c>
      <c r="K37" t="s">
        <v>178</v>
      </c>
      <c r="M37">
        <v>1</v>
      </c>
      <c r="N37">
        <v>4</v>
      </c>
      <c r="P37">
        <v>1</v>
      </c>
      <c r="Q37">
        <f t="shared" si="0"/>
        <v>0.39999999999999991</v>
      </c>
      <c r="S37" t="s">
        <v>177</v>
      </c>
      <c r="T37" t="s">
        <v>11</v>
      </c>
      <c r="U37" t="s">
        <v>314</v>
      </c>
    </row>
    <row r="38" spans="1:21" x14ac:dyDescent="0.2">
      <c r="A38">
        <v>37</v>
      </c>
      <c r="C38">
        <v>46</v>
      </c>
      <c r="D38" t="s">
        <v>174</v>
      </c>
      <c r="E38" t="s">
        <v>179</v>
      </c>
      <c r="G38" t="s">
        <v>377</v>
      </c>
      <c r="H38" t="s">
        <v>15</v>
      </c>
      <c r="J38" t="s">
        <v>180</v>
      </c>
      <c r="K38" t="s">
        <v>182</v>
      </c>
      <c r="M38">
        <v>1</v>
      </c>
      <c r="N38">
        <v>3</v>
      </c>
      <c r="O38">
        <v>0</v>
      </c>
      <c r="P38">
        <v>2</v>
      </c>
      <c r="Q38">
        <f t="shared" si="0"/>
        <v>0.4898979485566356</v>
      </c>
      <c r="R38" t="s">
        <v>320</v>
      </c>
      <c r="S38" t="s">
        <v>181</v>
      </c>
      <c r="T38" t="s">
        <v>11</v>
      </c>
      <c r="U38" t="s">
        <v>314</v>
      </c>
    </row>
    <row r="39" spans="1:21" x14ac:dyDescent="0.2">
      <c r="A39">
        <v>38</v>
      </c>
      <c r="C39">
        <v>47</v>
      </c>
      <c r="D39" t="s">
        <v>183</v>
      </c>
      <c r="E39" t="s">
        <v>184</v>
      </c>
      <c r="G39" t="s">
        <v>377</v>
      </c>
      <c r="H39" t="s">
        <v>15</v>
      </c>
      <c r="J39" t="s">
        <v>185</v>
      </c>
      <c r="K39" t="s">
        <v>187</v>
      </c>
      <c r="M39">
        <v>1</v>
      </c>
      <c r="N39">
        <v>4</v>
      </c>
      <c r="P39">
        <v>1</v>
      </c>
      <c r="Q39">
        <f t="shared" si="0"/>
        <v>0.39999999999999991</v>
      </c>
      <c r="S39" t="s">
        <v>186</v>
      </c>
      <c r="T39" t="s">
        <v>11</v>
      </c>
      <c r="U39" t="s">
        <v>314</v>
      </c>
    </row>
    <row r="40" spans="1:21" x14ac:dyDescent="0.2">
      <c r="A40">
        <v>39</v>
      </c>
      <c r="C40">
        <v>48</v>
      </c>
      <c r="D40" t="s">
        <v>188</v>
      </c>
      <c r="E40" t="s">
        <v>189</v>
      </c>
      <c r="G40" t="s">
        <v>377</v>
      </c>
      <c r="H40" t="s">
        <v>15</v>
      </c>
      <c r="J40" t="s">
        <v>190</v>
      </c>
      <c r="K40" t="s">
        <v>369</v>
      </c>
      <c r="M40">
        <v>1</v>
      </c>
      <c r="N40">
        <v>4</v>
      </c>
      <c r="P40">
        <v>1</v>
      </c>
      <c r="Q40">
        <f t="shared" si="0"/>
        <v>0.39999999999999991</v>
      </c>
      <c r="S40" t="s">
        <v>191</v>
      </c>
      <c r="T40" t="s">
        <v>11</v>
      </c>
      <c r="U40" t="s">
        <v>314</v>
      </c>
    </row>
    <row r="41" spans="1:21" x14ac:dyDescent="0.2">
      <c r="A41">
        <v>40</v>
      </c>
      <c r="C41">
        <v>49</v>
      </c>
      <c r="D41" t="s">
        <v>192</v>
      </c>
      <c r="E41" t="s">
        <v>193</v>
      </c>
      <c r="G41" t="s">
        <v>377</v>
      </c>
      <c r="H41">
        <v>800</v>
      </c>
      <c r="J41" t="s">
        <v>194</v>
      </c>
      <c r="K41" t="s">
        <v>195</v>
      </c>
      <c r="M41">
        <v>1</v>
      </c>
      <c r="N41">
        <v>5</v>
      </c>
      <c r="O41">
        <v>0</v>
      </c>
      <c r="P41">
        <v>0</v>
      </c>
      <c r="Q41">
        <f t="shared" si="0"/>
        <v>0</v>
      </c>
      <c r="S41" t="s">
        <v>12</v>
      </c>
      <c r="T41" t="s">
        <v>11</v>
      </c>
      <c r="U41" t="s">
        <v>314</v>
      </c>
    </row>
    <row r="42" spans="1:21" x14ac:dyDescent="0.2">
      <c r="A42">
        <v>41</v>
      </c>
      <c r="C42">
        <v>50</v>
      </c>
      <c r="D42" t="s">
        <v>196</v>
      </c>
      <c r="E42" t="s">
        <v>197</v>
      </c>
      <c r="G42" t="s">
        <v>377</v>
      </c>
      <c r="H42" t="s">
        <v>15</v>
      </c>
      <c r="J42" t="s">
        <v>198</v>
      </c>
      <c r="K42" t="s">
        <v>200</v>
      </c>
      <c r="M42">
        <v>1</v>
      </c>
      <c r="N42">
        <v>3</v>
      </c>
      <c r="P42">
        <v>2</v>
      </c>
      <c r="Q42">
        <f t="shared" si="0"/>
        <v>0.4898979485566356</v>
      </c>
      <c r="S42" t="s">
        <v>199</v>
      </c>
      <c r="T42" t="s">
        <v>11</v>
      </c>
      <c r="U42" t="s">
        <v>314</v>
      </c>
    </row>
    <row r="43" spans="1:21" x14ac:dyDescent="0.2">
      <c r="A43">
        <v>42</v>
      </c>
      <c r="C43">
        <v>51</v>
      </c>
      <c r="D43" t="s">
        <v>201</v>
      </c>
      <c r="E43" t="s">
        <v>202</v>
      </c>
      <c r="G43" t="s">
        <v>377</v>
      </c>
      <c r="H43" t="s">
        <v>15</v>
      </c>
      <c r="J43" t="s">
        <v>203</v>
      </c>
      <c r="K43" t="s">
        <v>205</v>
      </c>
      <c r="M43">
        <v>1</v>
      </c>
      <c r="N43">
        <v>5</v>
      </c>
      <c r="O43">
        <v>0</v>
      </c>
      <c r="P43">
        <v>0</v>
      </c>
      <c r="Q43">
        <f t="shared" si="0"/>
        <v>0</v>
      </c>
      <c r="S43" t="s">
        <v>204</v>
      </c>
      <c r="T43" t="s">
        <v>11</v>
      </c>
      <c r="U43" t="s">
        <v>314</v>
      </c>
    </row>
    <row r="44" spans="1:21" x14ac:dyDescent="0.2">
      <c r="A44">
        <v>43</v>
      </c>
      <c r="C44">
        <v>53</v>
      </c>
      <c r="D44" t="s">
        <v>206</v>
      </c>
      <c r="E44" t="s">
        <v>207</v>
      </c>
      <c r="G44" t="s">
        <v>377</v>
      </c>
      <c r="H44" t="s">
        <v>15</v>
      </c>
      <c r="J44" t="s">
        <v>208</v>
      </c>
      <c r="K44" t="s">
        <v>210</v>
      </c>
      <c r="M44">
        <v>1</v>
      </c>
      <c r="N44">
        <v>0</v>
      </c>
      <c r="O44">
        <v>0</v>
      </c>
      <c r="P44">
        <v>5</v>
      </c>
      <c r="Q44">
        <f t="shared" si="0"/>
        <v>0</v>
      </c>
      <c r="R44" t="s">
        <v>321</v>
      </c>
      <c r="S44" t="s">
        <v>209</v>
      </c>
      <c r="T44" t="s">
        <v>11</v>
      </c>
      <c r="U44" t="s">
        <v>314</v>
      </c>
    </row>
    <row r="45" spans="1:21" x14ac:dyDescent="0.2">
      <c r="A45">
        <v>44</v>
      </c>
      <c r="C45">
        <v>54</v>
      </c>
      <c r="D45" t="s">
        <v>211</v>
      </c>
      <c r="E45" t="s">
        <v>212</v>
      </c>
      <c r="G45" t="s">
        <v>377</v>
      </c>
      <c r="H45" t="s">
        <v>15</v>
      </c>
      <c r="J45" t="s">
        <v>213</v>
      </c>
      <c r="K45" t="s">
        <v>215</v>
      </c>
      <c r="M45">
        <v>1</v>
      </c>
      <c r="N45">
        <v>5</v>
      </c>
      <c r="O45">
        <v>0</v>
      </c>
      <c r="P45">
        <v>0</v>
      </c>
      <c r="Q45">
        <f t="shared" si="0"/>
        <v>0</v>
      </c>
      <c r="S45" t="s">
        <v>214</v>
      </c>
      <c r="T45" t="s">
        <v>11</v>
      </c>
      <c r="U45" t="s">
        <v>314</v>
      </c>
    </row>
    <row r="46" spans="1:21" x14ac:dyDescent="0.2">
      <c r="A46">
        <v>45</v>
      </c>
      <c r="C46">
        <v>56</v>
      </c>
      <c r="D46" t="s">
        <v>216</v>
      </c>
      <c r="E46" t="s">
        <v>217</v>
      </c>
      <c r="G46" t="s">
        <v>377</v>
      </c>
      <c r="H46" t="s">
        <v>15</v>
      </c>
      <c r="J46" t="s">
        <v>218</v>
      </c>
      <c r="K46" t="s">
        <v>220</v>
      </c>
      <c r="M46">
        <v>1</v>
      </c>
      <c r="N46">
        <v>2</v>
      </c>
      <c r="O46">
        <v>0</v>
      </c>
      <c r="P46">
        <v>3</v>
      </c>
      <c r="Q46">
        <f t="shared" si="0"/>
        <v>0.4898979485566356</v>
      </c>
      <c r="S46" t="s">
        <v>219</v>
      </c>
      <c r="T46" t="s">
        <v>11</v>
      </c>
      <c r="U46" t="s">
        <v>314</v>
      </c>
    </row>
    <row r="47" spans="1:21" x14ac:dyDescent="0.2">
      <c r="A47">
        <v>46</v>
      </c>
      <c r="C47">
        <v>57</v>
      </c>
      <c r="D47" t="s">
        <v>221</v>
      </c>
      <c r="E47" t="s">
        <v>222</v>
      </c>
      <c r="G47" t="s">
        <v>377</v>
      </c>
      <c r="H47" t="s">
        <v>15</v>
      </c>
      <c r="J47" t="s">
        <v>223</v>
      </c>
      <c r="K47" t="s">
        <v>225</v>
      </c>
      <c r="M47">
        <v>1</v>
      </c>
      <c r="N47">
        <v>5</v>
      </c>
      <c r="O47">
        <v>0</v>
      </c>
      <c r="P47">
        <v>0</v>
      </c>
      <c r="Q47">
        <f t="shared" si="0"/>
        <v>0</v>
      </c>
      <c r="S47" t="s">
        <v>224</v>
      </c>
      <c r="T47" t="s">
        <v>11</v>
      </c>
      <c r="U47" t="s">
        <v>314</v>
      </c>
    </row>
    <row r="48" spans="1:21" x14ac:dyDescent="0.2">
      <c r="A48">
        <v>47</v>
      </c>
      <c r="C48">
        <v>58</v>
      </c>
      <c r="D48" t="s">
        <v>226</v>
      </c>
      <c r="E48" t="s">
        <v>227</v>
      </c>
      <c r="G48" t="s">
        <v>377</v>
      </c>
      <c r="H48" t="s">
        <v>15</v>
      </c>
      <c r="J48" t="s">
        <v>228</v>
      </c>
      <c r="K48" t="s">
        <v>230</v>
      </c>
      <c r="M48">
        <v>1</v>
      </c>
      <c r="N48">
        <v>5</v>
      </c>
      <c r="O48">
        <v>0</v>
      </c>
      <c r="P48">
        <v>0</v>
      </c>
      <c r="Q48">
        <f t="shared" si="0"/>
        <v>0</v>
      </c>
      <c r="S48" t="s">
        <v>229</v>
      </c>
      <c r="T48" t="s">
        <v>11</v>
      </c>
      <c r="U48" t="s">
        <v>314</v>
      </c>
    </row>
    <row r="49" spans="1:21" x14ac:dyDescent="0.2">
      <c r="A49">
        <v>48</v>
      </c>
      <c r="C49">
        <v>59</v>
      </c>
      <c r="D49" t="s">
        <v>231</v>
      </c>
      <c r="E49" t="s">
        <v>232</v>
      </c>
      <c r="G49" t="s">
        <v>377</v>
      </c>
      <c r="H49" t="s">
        <v>15</v>
      </c>
      <c r="J49" t="s">
        <v>233</v>
      </c>
      <c r="K49" t="s">
        <v>366</v>
      </c>
      <c r="M49">
        <v>1</v>
      </c>
      <c r="N49">
        <v>5</v>
      </c>
      <c r="O49">
        <v>0</v>
      </c>
      <c r="P49">
        <v>0</v>
      </c>
      <c r="Q49">
        <f t="shared" si="0"/>
        <v>0</v>
      </c>
      <c r="S49" t="s">
        <v>234</v>
      </c>
      <c r="T49" t="s">
        <v>11</v>
      </c>
      <c r="U49" t="s">
        <v>314</v>
      </c>
    </row>
    <row r="50" spans="1:21" x14ac:dyDescent="0.2">
      <c r="A50">
        <v>49</v>
      </c>
      <c r="C50">
        <v>63</v>
      </c>
      <c r="D50" t="s">
        <v>235</v>
      </c>
      <c r="E50" t="s">
        <v>236</v>
      </c>
      <c r="G50" t="s">
        <v>377</v>
      </c>
      <c r="H50" t="s">
        <v>15</v>
      </c>
      <c r="J50" t="s">
        <v>237</v>
      </c>
      <c r="K50" t="s">
        <v>239</v>
      </c>
      <c r="M50">
        <v>1</v>
      </c>
      <c r="N50">
        <v>5</v>
      </c>
      <c r="O50">
        <v>0</v>
      </c>
      <c r="P50">
        <v>0</v>
      </c>
      <c r="Q50">
        <f t="shared" si="0"/>
        <v>0</v>
      </c>
      <c r="S50" t="s">
        <v>238</v>
      </c>
      <c r="T50" t="s">
        <v>11</v>
      </c>
      <c r="U50" t="s">
        <v>314</v>
      </c>
    </row>
    <row r="51" spans="1:21" x14ac:dyDescent="0.2">
      <c r="A51">
        <v>50</v>
      </c>
      <c r="C51">
        <v>64</v>
      </c>
      <c r="D51" t="s">
        <v>240</v>
      </c>
      <c r="E51" t="s">
        <v>241</v>
      </c>
      <c r="G51" t="s">
        <v>377</v>
      </c>
      <c r="H51" t="s">
        <v>15</v>
      </c>
      <c r="J51" t="s">
        <v>242</v>
      </c>
      <c r="K51" t="s">
        <v>244</v>
      </c>
      <c r="M51">
        <v>1</v>
      </c>
      <c r="N51">
        <v>3</v>
      </c>
      <c r="O51">
        <v>0</v>
      </c>
      <c r="P51">
        <v>2</v>
      </c>
      <c r="Q51">
        <f t="shared" si="0"/>
        <v>0.4898979485566356</v>
      </c>
      <c r="R51" t="s">
        <v>322</v>
      </c>
      <c r="S51" t="s">
        <v>243</v>
      </c>
      <c r="T51" t="s">
        <v>11</v>
      </c>
      <c r="U51" t="s">
        <v>314</v>
      </c>
    </row>
    <row r="52" spans="1:21" x14ac:dyDescent="0.2">
      <c r="A52">
        <v>51</v>
      </c>
      <c r="C52">
        <v>65</v>
      </c>
      <c r="D52" t="s">
        <v>245</v>
      </c>
      <c r="E52" t="s">
        <v>246</v>
      </c>
      <c r="G52" t="s">
        <v>377</v>
      </c>
      <c r="H52" t="s">
        <v>15</v>
      </c>
      <c r="J52" t="s">
        <v>247</v>
      </c>
      <c r="K52" t="s">
        <v>249</v>
      </c>
      <c r="M52">
        <v>1</v>
      </c>
      <c r="N52">
        <v>5</v>
      </c>
      <c r="O52">
        <v>0</v>
      </c>
      <c r="P52">
        <v>0</v>
      </c>
      <c r="Q52">
        <f t="shared" si="0"/>
        <v>0</v>
      </c>
      <c r="S52" t="s">
        <v>248</v>
      </c>
      <c r="T52" t="s">
        <v>11</v>
      </c>
      <c r="U52" t="s">
        <v>314</v>
      </c>
    </row>
    <row r="53" spans="1:21" x14ac:dyDescent="0.2">
      <c r="A53">
        <v>52</v>
      </c>
      <c r="D53" t="s">
        <v>251</v>
      </c>
      <c r="E53" t="s">
        <v>252</v>
      </c>
      <c r="G53" t="s">
        <v>378</v>
      </c>
      <c r="H53" s="2" t="s">
        <v>323</v>
      </c>
      <c r="I53" s="2"/>
      <c r="J53" t="s">
        <v>254</v>
      </c>
      <c r="K53" t="s">
        <v>254</v>
      </c>
      <c r="L53">
        <v>6</v>
      </c>
      <c r="M53">
        <v>1</v>
      </c>
      <c r="N53">
        <v>3</v>
      </c>
      <c r="O53">
        <f>12-N53</f>
        <v>9</v>
      </c>
      <c r="P53">
        <v>0</v>
      </c>
      <c r="Q53">
        <f t="shared" si="0"/>
        <v>0.8660254037844386</v>
      </c>
      <c r="T53" t="s">
        <v>250</v>
      </c>
    </row>
    <row r="54" spans="1:21" x14ac:dyDescent="0.2">
      <c r="A54">
        <v>53</v>
      </c>
      <c r="C54" t="s">
        <v>15</v>
      </c>
      <c r="D54" t="s">
        <v>251</v>
      </c>
      <c r="E54" t="s">
        <v>252</v>
      </c>
      <c r="G54" t="s">
        <v>378</v>
      </c>
      <c r="H54" t="s">
        <v>253</v>
      </c>
      <c r="J54" t="s">
        <v>254</v>
      </c>
      <c r="K54" t="s">
        <v>254</v>
      </c>
      <c r="L54">
        <v>6</v>
      </c>
      <c r="M54">
        <v>1</v>
      </c>
      <c r="N54">
        <v>2</v>
      </c>
      <c r="O54">
        <f t="shared" ref="O54:O59" si="1">12-N54</f>
        <v>10</v>
      </c>
      <c r="P54">
        <v>0</v>
      </c>
      <c r="Q54">
        <f t="shared" si="0"/>
        <v>0.7453559924999299</v>
      </c>
      <c r="S54" t="s">
        <v>12</v>
      </c>
      <c r="T54" t="s">
        <v>250</v>
      </c>
    </row>
    <row r="55" spans="1:21" x14ac:dyDescent="0.2">
      <c r="A55">
        <v>54</v>
      </c>
      <c r="C55" t="s">
        <v>15</v>
      </c>
      <c r="D55" t="s">
        <v>251</v>
      </c>
      <c r="E55" t="s">
        <v>252</v>
      </c>
      <c r="G55" t="s">
        <v>378</v>
      </c>
      <c r="H55" t="s">
        <v>255</v>
      </c>
      <c r="J55" t="s">
        <v>254</v>
      </c>
      <c r="K55" t="s">
        <v>254</v>
      </c>
      <c r="L55">
        <v>6</v>
      </c>
      <c r="M55">
        <v>1</v>
      </c>
      <c r="N55">
        <v>3</v>
      </c>
      <c r="O55">
        <f t="shared" si="1"/>
        <v>9</v>
      </c>
      <c r="P55">
        <v>0</v>
      </c>
      <c r="Q55">
        <f t="shared" si="0"/>
        <v>0.8660254037844386</v>
      </c>
      <c r="S55" t="s">
        <v>12</v>
      </c>
      <c r="T55" t="s">
        <v>250</v>
      </c>
    </row>
    <row r="56" spans="1:21" x14ac:dyDescent="0.2">
      <c r="A56">
        <v>55</v>
      </c>
      <c r="C56" t="s">
        <v>15</v>
      </c>
      <c r="D56" t="s">
        <v>251</v>
      </c>
      <c r="E56" t="s">
        <v>252</v>
      </c>
      <c r="G56" t="s">
        <v>378</v>
      </c>
      <c r="H56" t="s">
        <v>256</v>
      </c>
      <c r="J56" t="s">
        <v>254</v>
      </c>
      <c r="K56" t="s">
        <v>254</v>
      </c>
      <c r="L56">
        <v>6</v>
      </c>
      <c r="M56">
        <v>1</v>
      </c>
      <c r="N56">
        <v>1</v>
      </c>
      <c r="O56">
        <f t="shared" si="1"/>
        <v>11</v>
      </c>
      <c r="P56">
        <v>0</v>
      </c>
      <c r="Q56">
        <f t="shared" si="0"/>
        <v>0.5527707983925666</v>
      </c>
      <c r="S56" t="s">
        <v>12</v>
      </c>
      <c r="T56" t="s">
        <v>250</v>
      </c>
    </row>
    <row r="57" spans="1:21" x14ac:dyDescent="0.2">
      <c r="A57">
        <v>56</v>
      </c>
      <c r="C57" t="s">
        <v>15</v>
      </c>
      <c r="D57" t="s">
        <v>251</v>
      </c>
      <c r="E57" t="s">
        <v>252</v>
      </c>
      <c r="G57" t="s">
        <v>378</v>
      </c>
      <c r="H57" t="s">
        <v>257</v>
      </c>
      <c r="J57" t="s">
        <v>254</v>
      </c>
      <c r="K57" t="s">
        <v>254</v>
      </c>
      <c r="L57">
        <v>6</v>
      </c>
      <c r="M57">
        <v>1</v>
      </c>
      <c r="N57">
        <v>0</v>
      </c>
      <c r="O57">
        <f t="shared" si="1"/>
        <v>12</v>
      </c>
      <c r="P57">
        <v>0</v>
      </c>
      <c r="Q57">
        <f t="shared" si="0"/>
        <v>0</v>
      </c>
      <c r="S57" t="s">
        <v>12</v>
      </c>
      <c r="T57" t="s">
        <v>250</v>
      </c>
    </row>
    <row r="58" spans="1:21" x14ac:dyDescent="0.2">
      <c r="A58">
        <v>57</v>
      </c>
      <c r="C58" t="s">
        <v>15</v>
      </c>
      <c r="D58" t="s">
        <v>251</v>
      </c>
      <c r="E58" t="s">
        <v>252</v>
      </c>
      <c r="G58" t="s">
        <v>378</v>
      </c>
      <c r="H58" t="s">
        <v>258</v>
      </c>
      <c r="J58" t="s">
        <v>254</v>
      </c>
      <c r="K58" t="s">
        <v>254</v>
      </c>
      <c r="L58">
        <v>6</v>
      </c>
      <c r="M58">
        <v>1</v>
      </c>
      <c r="N58">
        <v>4</v>
      </c>
      <c r="O58">
        <f t="shared" si="1"/>
        <v>8</v>
      </c>
      <c r="P58">
        <v>0</v>
      </c>
      <c r="Q58">
        <f t="shared" si="0"/>
        <v>0.94280904158206336</v>
      </c>
      <c r="S58" t="s">
        <v>12</v>
      </c>
      <c r="T58" t="s">
        <v>250</v>
      </c>
    </row>
    <row r="59" spans="1:21" x14ac:dyDescent="0.2">
      <c r="A59">
        <v>58</v>
      </c>
      <c r="C59" t="s">
        <v>15</v>
      </c>
      <c r="D59" t="s">
        <v>251</v>
      </c>
      <c r="E59" t="s">
        <v>252</v>
      </c>
      <c r="G59" t="s">
        <v>377</v>
      </c>
      <c r="H59" t="s">
        <v>259</v>
      </c>
      <c r="J59" t="s">
        <v>254</v>
      </c>
      <c r="K59" t="s">
        <v>254</v>
      </c>
      <c r="L59">
        <v>6</v>
      </c>
      <c r="M59">
        <v>1</v>
      </c>
      <c r="N59">
        <v>10</v>
      </c>
      <c r="O59">
        <f t="shared" si="1"/>
        <v>2</v>
      </c>
      <c r="P59">
        <v>0</v>
      </c>
      <c r="Q59">
        <f t="shared" si="0"/>
        <v>0.7453559924999299</v>
      </c>
      <c r="S59" t="s">
        <v>12</v>
      </c>
      <c r="T59" t="s">
        <v>250</v>
      </c>
    </row>
    <row r="60" spans="1:21" x14ac:dyDescent="0.2">
      <c r="A60">
        <v>59</v>
      </c>
      <c r="B60" t="s">
        <v>340</v>
      </c>
      <c r="C60" t="s">
        <v>15</v>
      </c>
      <c r="D60" t="s">
        <v>260</v>
      </c>
      <c r="E60" t="s">
        <v>261</v>
      </c>
      <c r="G60" t="s">
        <v>378</v>
      </c>
      <c r="H60" s="4" t="s">
        <v>330</v>
      </c>
      <c r="I60" s="4"/>
      <c r="J60" t="s">
        <v>262</v>
      </c>
      <c r="K60" t="s">
        <v>262</v>
      </c>
      <c r="L60">
        <v>7</v>
      </c>
      <c r="M60">
        <v>1</v>
      </c>
      <c r="N60" s="4">
        <v>43</v>
      </c>
      <c r="O60" s="4">
        <v>18</v>
      </c>
      <c r="P60" s="4">
        <v>33</v>
      </c>
      <c r="Q60">
        <f t="shared" si="0"/>
        <v>0.76039647993652904</v>
      </c>
    </row>
    <row r="61" spans="1:21" x14ac:dyDescent="0.2">
      <c r="A61">
        <v>60</v>
      </c>
      <c r="B61" t="s">
        <v>340</v>
      </c>
      <c r="C61" t="s">
        <v>15</v>
      </c>
      <c r="D61" t="s">
        <v>260</v>
      </c>
      <c r="E61" t="s">
        <v>261</v>
      </c>
      <c r="G61" t="s">
        <v>378</v>
      </c>
      <c r="H61" s="4" t="s">
        <v>327</v>
      </c>
      <c r="I61" s="4"/>
      <c r="J61" t="s">
        <v>262</v>
      </c>
      <c r="K61" t="s">
        <v>262</v>
      </c>
      <c r="L61">
        <v>7</v>
      </c>
      <c r="M61">
        <v>1</v>
      </c>
      <c r="N61" s="4">
        <v>51</v>
      </c>
      <c r="O61" s="4">
        <v>10</v>
      </c>
      <c r="P61" s="4">
        <v>33</v>
      </c>
      <c r="Q61">
        <f t="shared" si="0"/>
        <v>0.67726783159136195</v>
      </c>
    </row>
    <row r="62" spans="1:21" x14ac:dyDescent="0.2">
      <c r="A62">
        <v>61</v>
      </c>
      <c r="B62" t="s">
        <v>340</v>
      </c>
      <c r="C62" t="s">
        <v>15</v>
      </c>
      <c r="D62" t="s">
        <v>260</v>
      </c>
      <c r="E62" t="s">
        <v>261</v>
      </c>
      <c r="G62" t="s">
        <v>378</v>
      </c>
      <c r="H62" s="4" t="s">
        <v>326</v>
      </c>
      <c r="I62" s="4"/>
      <c r="J62" t="s">
        <v>262</v>
      </c>
      <c r="K62" t="s">
        <v>262</v>
      </c>
      <c r="L62">
        <v>7</v>
      </c>
      <c r="M62">
        <v>1</v>
      </c>
      <c r="N62" s="4">
        <v>48</v>
      </c>
      <c r="O62" s="4">
        <v>14</v>
      </c>
      <c r="P62" s="4">
        <v>32</v>
      </c>
      <c r="Q62">
        <f t="shared" si="0"/>
        <v>0.72714925492064086</v>
      </c>
    </row>
    <row r="63" spans="1:21" x14ac:dyDescent="0.2">
      <c r="A63">
        <v>62</v>
      </c>
      <c r="B63" t="s">
        <v>340</v>
      </c>
      <c r="C63" t="s">
        <v>15</v>
      </c>
      <c r="D63" t="s">
        <v>260</v>
      </c>
      <c r="E63" t="s">
        <v>261</v>
      </c>
      <c r="G63" t="s">
        <v>378</v>
      </c>
      <c r="H63" s="4" t="s">
        <v>331</v>
      </c>
      <c r="I63" s="4"/>
      <c r="J63" t="s">
        <v>262</v>
      </c>
      <c r="K63" t="s">
        <v>262</v>
      </c>
      <c r="L63">
        <v>7</v>
      </c>
      <c r="M63">
        <v>1</v>
      </c>
      <c r="N63" s="4">
        <v>32</v>
      </c>
      <c r="O63" s="4">
        <v>29</v>
      </c>
      <c r="P63" s="4">
        <v>33</v>
      </c>
      <c r="Q63">
        <f t="shared" si="0"/>
        <v>0.80493329523518908</v>
      </c>
    </row>
    <row r="64" spans="1:21" x14ac:dyDescent="0.2">
      <c r="A64">
        <v>63</v>
      </c>
      <c r="B64" t="s">
        <v>340</v>
      </c>
      <c r="C64" t="s">
        <v>15</v>
      </c>
      <c r="D64" t="s">
        <v>260</v>
      </c>
      <c r="E64" t="s">
        <v>261</v>
      </c>
      <c r="G64" t="s">
        <v>378</v>
      </c>
      <c r="H64" s="4" t="s">
        <v>329</v>
      </c>
      <c r="I64" s="4"/>
      <c r="J64" t="s">
        <v>262</v>
      </c>
      <c r="K64" t="s">
        <v>262</v>
      </c>
      <c r="L64">
        <v>7</v>
      </c>
      <c r="M64">
        <v>1</v>
      </c>
      <c r="N64" s="4">
        <v>38</v>
      </c>
      <c r="O64" s="4">
        <v>23</v>
      </c>
      <c r="P64" s="4">
        <v>33</v>
      </c>
      <c r="Q64">
        <f t="shared" si="0"/>
        <v>0.78960253251121304</v>
      </c>
    </row>
    <row r="65" spans="1:17" x14ac:dyDescent="0.2">
      <c r="A65">
        <v>64</v>
      </c>
      <c r="B65" t="s">
        <v>340</v>
      </c>
      <c r="C65" t="s">
        <v>15</v>
      </c>
      <c r="D65" t="s">
        <v>260</v>
      </c>
      <c r="E65" t="s">
        <v>261</v>
      </c>
      <c r="G65" t="s">
        <v>378</v>
      </c>
      <c r="H65" s="4" t="s">
        <v>328</v>
      </c>
      <c r="I65" s="4"/>
      <c r="J65" t="s">
        <v>262</v>
      </c>
      <c r="K65" t="s">
        <v>262</v>
      </c>
      <c r="L65">
        <v>7</v>
      </c>
      <c r="M65">
        <v>1</v>
      </c>
      <c r="N65" s="4">
        <v>48</v>
      </c>
      <c r="O65" s="4">
        <v>13</v>
      </c>
      <c r="P65" s="4">
        <v>33</v>
      </c>
      <c r="Q65">
        <f t="shared" si="0"/>
        <v>0.71435199847657638</v>
      </c>
    </row>
    <row r="66" spans="1:17" x14ac:dyDescent="0.2">
      <c r="A66">
        <v>65</v>
      </c>
      <c r="B66" t="s">
        <v>340</v>
      </c>
      <c r="C66" t="s">
        <v>15</v>
      </c>
      <c r="D66" t="s">
        <v>260</v>
      </c>
      <c r="E66" t="s">
        <v>261</v>
      </c>
      <c r="G66" t="s">
        <v>377</v>
      </c>
      <c r="H66" s="4" t="s">
        <v>325</v>
      </c>
      <c r="I66" s="4"/>
      <c r="J66" t="s">
        <v>262</v>
      </c>
      <c r="K66" t="s">
        <v>262</v>
      </c>
      <c r="L66">
        <v>7</v>
      </c>
      <c r="M66">
        <v>1</v>
      </c>
      <c r="N66" s="4">
        <v>57</v>
      </c>
      <c r="O66" s="4">
        <v>4</v>
      </c>
      <c r="P66" s="4">
        <v>33</v>
      </c>
      <c r="Q66">
        <f t="shared" si="0"/>
        <v>0.57535392693574294</v>
      </c>
    </row>
    <row r="67" spans="1:17" x14ac:dyDescent="0.2">
      <c r="A67">
        <v>66</v>
      </c>
      <c r="B67" t="s">
        <v>341</v>
      </c>
      <c r="C67" t="s">
        <v>15</v>
      </c>
      <c r="D67" t="s">
        <v>260</v>
      </c>
      <c r="E67" t="s">
        <v>261</v>
      </c>
      <c r="G67" t="s">
        <v>378</v>
      </c>
      <c r="H67" s="4" t="s">
        <v>330</v>
      </c>
      <c r="I67" s="4"/>
      <c r="J67" t="s">
        <v>262</v>
      </c>
      <c r="K67" t="s">
        <v>262</v>
      </c>
      <c r="L67">
        <v>7</v>
      </c>
      <c r="M67">
        <v>1</v>
      </c>
      <c r="N67" s="4">
        <v>38</v>
      </c>
      <c r="O67" s="4">
        <v>17</v>
      </c>
      <c r="P67" s="4">
        <v>39</v>
      </c>
      <c r="Q67">
        <f t="shared" ref="Q67:Q130" si="2">SQRT(((N67+O67) / (N67+O67+P67)) - ((N67-O67) / (N67+O67+P67))^2)</f>
        <v>0.73157154242358269</v>
      </c>
    </row>
    <row r="68" spans="1:17" x14ac:dyDescent="0.2">
      <c r="A68">
        <v>67</v>
      </c>
      <c r="B68" t="s">
        <v>341</v>
      </c>
      <c r="C68" t="s">
        <v>15</v>
      </c>
      <c r="D68" t="s">
        <v>260</v>
      </c>
      <c r="E68" t="s">
        <v>261</v>
      </c>
      <c r="G68" t="s">
        <v>378</v>
      </c>
      <c r="H68" s="4" t="s">
        <v>327</v>
      </c>
      <c r="I68" s="4"/>
      <c r="J68" t="s">
        <v>262</v>
      </c>
      <c r="K68" t="s">
        <v>262</v>
      </c>
      <c r="L68">
        <v>7</v>
      </c>
      <c r="M68">
        <v>1</v>
      </c>
      <c r="N68" s="4">
        <v>52</v>
      </c>
      <c r="O68" s="4">
        <v>9</v>
      </c>
      <c r="P68" s="4">
        <v>33</v>
      </c>
      <c r="Q68">
        <f t="shared" si="2"/>
        <v>0.663082640095635</v>
      </c>
    </row>
    <row r="69" spans="1:17" x14ac:dyDescent="0.2">
      <c r="A69">
        <v>68</v>
      </c>
      <c r="B69" t="s">
        <v>341</v>
      </c>
      <c r="C69" t="s">
        <v>15</v>
      </c>
      <c r="D69" t="s">
        <v>260</v>
      </c>
      <c r="E69" t="s">
        <v>261</v>
      </c>
      <c r="G69" t="s">
        <v>378</v>
      </c>
      <c r="H69" s="4" t="s">
        <v>326</v>
      </c>
      <c r="I69" s="4"/>
      <c r="J69" t="s">
        <v>262</v>
      </c>
      <c r="K69" t="s">
        <v>262</v>
      </c>
      <c r="L69">
        <v>7</v>
      </c>
      <c r="M69">
        <v>1</v>
      </c>
      <c r="N69" s="4">
        <v>48</v>
      </c>
      <c r="O69" s="4">
        <v>9</v>
      </c>
      <c r="P69" s="4">
        <v>37</v>
      </c>
      <c r="Q69">
        <f t="shared" si="2"/>
        <v>0.65897364535951408</v>
      </c>
    </row>
    <row r="70" spans="1:17" x14ac:dyDescent="0.2">
      <c r="A70">
        <v>69</v>
      </c>
      <c r="B70" t="s">
        <v>341</v>
      </c>
      <c r="C70" t="s">
        <v>15</v>
      </c>
      <c r="D70" t="s">
        <v>260</v>
      </c>
      <c r="E70" t="s">
        <v>261</v>
      </c>
      <c r="G70" t="s">
        <v>378</v>
      </c>
      <c r="H70" s="4" t="s">
        <v>329</v>
      </c>
      <c r="I70" s="4"/>
      <c r="J70" t="s">
        <v>262</v>
      </c>
      <c r="K70" t="s">
        <v>262</v>
      </c>
      <c r="L70">
        <v>7</v>
      </c>
      <c r="M70">
        <v>1</v>
      </c>
      <c r="N70" s="4">
        <v>40</v>
      </c>
      <c r="O70" s="4">
        <v>14</v>
      </c>
      <c r="P70" s="4">
        <v>40</v>
      </c>
      <c r="Q70">
        <f t="shared" si="2"/>
        <v>0.70566484901178728</v>
      </c>
    </row>
    <row r="71" spans="1:17" x14ac:dyDescent="0.2">
      <c r="A71">
        <v>70</v>
      </c>
      <c r="B71" t="s">
        <v>341</v>
      </c>
      <c r="C71" t="s">
        <v>15</v>
      </c>
      <c r="D71" t="s">
        <v>260</v>
      </c>
      <c r="E71" t="s">
        <v>261</v>
      </c>
      <c r="G71" t="s">
        <v>378</v>
      </c>
      <c r="H71" s="4" t="s">
        <v>328</v>
      </c>
      <c r="I71" s="4"/>
      <c r="J71" t="s">
        <v>262</v>
      </c>
      <c r="K71" t="s">
        <v>262</v>
      </c>
      <c r="L71">
        <v>7</v>
      </c>
      <c r="M71">
        <v>1</v>
      </c>
      <c r="N71" s="4">
        <v>47</v>
      </c>
      <c r="O71" s="4">
        <v>12</v>
      </c>
      <c r="P71" s="4">
        <v>35</v>
      </c>
      <c r="Q71">
        <f t="shared" si="2"/>
        <v>0.69930120976786359</v>
      </c>
    </row>
    <row r="72" spans="1:17" x14ac:dyDescent="0.2">
      <c r="A72">
        <v>71</v>
      </c>
      <c r="B72" t="s">
        <v>341</v>
      </c>
      <c r="C72" t="s">
        <v>15</v>
      </c>
      <c r="D72" t="s">
        <v>260</v>
      </c>
      <c r="E72" t="s">
        <v>261</v>
      </c>
      <c r="G72" t="s">
        <v>377</v>
      </c>
      <c r="H72" s="4" t="s">
        <v>325</v>
      </c>
      <c r="I72" s="4"/>
      <c r="J72" t="s">
        <v>262</v>
      </c>
      <c r="K72" t="s">
        <v>262</v>
      </c>
      <c r="L72">
        <v>7</v>
      </c>
      <c r="M72">
        <v>1</v>
      </c>
      <c r="N72" s="4">
        <v>55</v>
      </c>
      <c r="O72" s="4">
        <v>6</v>
      </c>
      <c r="P72" s="4">
        <v>33</v>
      </c>
      <c r="Q72">
        <f t="shared" si="2"/>
        <v>0.61417170314302372</v>
      </c>
    </row>
    <row r="73" spans="1:17" x14ac:dyDescent="0.2">
      <c r="A73">
        <v>72</v>
      </c>
      <c r="B73" t="s">
        <v>342</v>
      </c>
      <c r="C73" t="s">
        <v>15</v>
      </c>
      <c r="D73" t="s">
        <v>260</v>
      </c>
      <c r="E73" t="s">
        <v>261</v>
      </c>
      <c r="G73" t="s">
        <v>378</v>
      </c>
      <c r="H73" s="4" t="s">
        <v>327</v>
      </c>
      <c r="I73" s="4"/>
      <c r="J73" t="s">
        <v>262</v>
      </c>
      <c r="K73" t="s">
        <v>262</v>
      </c>
      <c r="L73">
        <v>7</v>
      </c>
      <c r="M73">
        <v>1</v>
      </c>
      <c r="N73" s="4">
        <v>42</v>
      </c>
      <c r="O73" s="4">
        <v>14</v>
      </c>
      <c r="P73" s="4">
        <v>38</v>
      </c>
      <c r="Q73">
        <f t="shared" si="2"/>
        <v>0.71205108641197912</v>
      </c>
    </row>
    <row r="74" spans="1:17" x14ac:dyDescent="0.2">
      <c r="A74">
        <v>73</v>
      </c>
      <c r="B74" t="s">
        <v>342</v>
      </c>
      <c r="C74" t="s">
        <v>15</v>
      </c>
      <c r="D74" t="s">
        <v>260</v>
      </c>
      <c r="E74" t="s">
        <v>261</v>
      </c>
      <c r="G74" t="s">
        <v>378</v>
      </c>
      <c r="H74" s="4" t="s">
        <v>326</v>
      </c>
      <c r="I74" s="4"/>
      <c r="J74" t="s">
        <v>262</v>
      </c>
      <c r="K74" t="s">
        <v>262</v>
      </c>
      <c r="L74">
        <v>7</v>
      </c>
      <c r="M74">
        <v>1</v>
      </c>
      <c r="N74" s="4">
        <v>40</v>
      </c>
      <c r="O74" s="4">
        <v>20</v>
      </c>
      <c r="P74" s="4">
        <v>34</v>
      </c>
      <c r="Q74">
        <f t="shared" si="2"/>
        <v>0.77008344982356847</v>
      </c>
    </row>
    <row r="75" spans="1:17" x14ac:dyDescent="0.2">
      <c r="A75">
        <v>74</v>
      </c>
      <c r="B75" t="s">
        <v>342</v>
      </c>
      <c r="C75" t="s">
        <v>15</v>
      </c>
      <c r="D75" t="s">
        <v>260</v>
      </c>
      <c r="E75" t="s">
        <v>261</v>
      </c>
      <c r="G75" t="s">
        <v>378</v>
      </c>
      <c r="H75" s="4" t="s">
        <v>329</v>
      </c>
      <c r="I75" s="4"/>
      <c r="J75" t="s">
        <v>262</v>
      </c>
      <c r="K75" t="s">
        <v>262</v>
      </c>
      <c r="L75">
        <v>7</v>
      </c>
      <c r="M75">
        <v>1</v>
      </c>
      <c r="N75" s="4">
        <v>30</v>
      </c>
      <c r="O75" s="4">
        <v>28</v>
      </c>
      <c r="P75" s="4">
        <v>36</v>
      </c>
      <c r="Q75">
        <f t="shared" si="2"/>
        <v>0.7852188122232312</v>
      </c>
    </row>
    <row r="76" spans="1:17" x14ac:dyDescent="0.2">
      <c r="A76">
        <v>75</v>
      </c>
      <c r="B76" t="s">
        <v>342</v>
      </c>
      <c r="C76" t="s">
        <v>15</v>
      </c>
      <c r="D76" t="s">
        <v>260</v>
      </c>
      <c r="E76" t="s">
        <v>261</v>
      </c>
      <c r="G76" t="s">
        <v>378</v>
      </c>
      <c r="H76" s="4" t="s">
        <v>328</v>
      </c>
      <c r="I76" s="4"/>
      <c r="J76" t="s">
        <v>262</v>
      </c>
      <c r="K76" t="s">
        <v>262</v>
      </c>
      <c r="L76">
        <v>7</v>
      </c>
      <c r="M76">
        <v>1</v>
      </c>
      <c r="N76" s="4">
        <v>36</v>
      </c>
      <c r="O76" s="4">
        <v>22</v>
      </c>
      <c r="P76" s="4">
        <v>36</v>
      </c>
      <c r="Q76">
        <f t="shared" si="2"/>
        <v>0.77125825363369616</v>
      </c>
    </row>
    <row r="77" spans="1:17" x14ac:dyDescent="0.2">
      <c r="A77">
        <v>76</v>
      </c>
      <c r="B77" t="s">
        <v>342</v>
      </c>
      <c r="C77" t="s">
        <v>15</v>
      </c>
      <c r="D77" t="s">
        <v>260</v>
      </c>
      <c r="E77" t="s">
        <v>261</v>
      </c>
      <c r="G77" t="s">
        <v>377</v>
      </c>
      <c r="H77" s="4" t="s">
        <v>325</v>
      </c>
      <c r="I77" s="4"/>
      <c r="J77" t="s">
        <v>262</v>
      </c>
      <c r="K77" t="s">
        <v>262</v>
      </c>
      <c r="L77">
        <v>7</v>
      </c>
      <c r="M77">
        <v>1</v>
      </c>
      <c r="N77" s="4">
        <v>44</v>
      </c>
      <c r="O77" s="4">
        <v>15</v>
      </c>
      <c r="P77" s="4">
        <v>35</v>
      </c>
      <c r="Q77">
        <f t="shared" si="2"/>
        <v>0.72971279317627735</v>
      </c>
    </row>
    <row r="78" spans="1:17" x14ac:dyDescent="0.2">
      <c r="A78">
        <v>77</v>
      </c>
      <c r="B78" t="s">
        <v>343</v>
      </c>
      <c r="C78" t="s">
        <v>15</v>
      </c>
      <c r="D78" t="s">
        <v>260</v>
      </c>
      <c r="E78" t="s">
        <v>261</v>
      </c>
      <c r="G78" t="s">
        <v>378</v>
      </c>
      <c r="H78" s="4" t="s">
        <v>327</v>
      </c>
      <c r="I78" s="4"/>
      <c r="J78" t="s">
        <v>262</v>
      </c>
      <c r="K78" t="s">
        <v>262</v>
      </c>
      <c r="L78">
        <v>7</v>
      </c>
      <c r="M78">
        <v>1</v>
      </c>
      <c r="N78" s="4">
        <v>42</v>
      </c>
      <c r="O78" s="4">
        <v>16</v>
      </c>
      <c r="P78" s="4">
        <v>36</v>
      </c>
      <c r="Q78">
        <f t="shared" si="2"/>
        <v>0.73519798056046792</v>
      </c>
    </row>
    <row r="79" spans="1:17" x14ac:dyDescent="0.2">
      <c r="A79">
        <v>78</v>
      </c>
      <c r="B79" t="s">
        <v>343</v>
      </c>
      <c r="C79" t="s">
        <v>15</v>
      </c>
      <c r="D79" t="s">
        <v>260</v>
      </c>
      <c r="E79" t="s">
        <v>261</v>
      </c>
      <c r="G79" t="s">
        <v>378</v>
      </c>
      <c r="H79" s="4" t="s">
        <v>326</v>
      </c>
      <c r="I79" s="4"/>
      <c r="J79" t="s">
        <v>262</v>
      </c>
      <c r="K79" t="s">
        <v>262</v>
      </c>
      <c r="L79">
        <v>7</v>
      </c>
      <c r="M79">
        <v>1</v>
      </c>
      <c r="N79" s="4">
        <v>40</v>
      </c>
      <c r="O79" s="4">
        <v>18</v>
      </c>
      <c r="P79" s="4">
        <v>36</v>
      </c>
      <c r="Q79">
        <f t="shared" si="2"/>
        <v>0.74983022071089778</v>
      </c>
    </row>
    <row r="80" spans="1:17" x14ac:dyDescent="0.2">
      <c r="A80">
        <v>79</v>
      </c>
      <c r="B80" t="s">
        <v>343</v>
      </c>
      <c r="C80" t="s">
        <v>15</v>
      </c>
      <c r="D80" t="s">
        <v>260</v>
      </c>
      <c r="E80" t="s">
        <v>261</v>
      </c>
      <c r="G80" t="s">
        <v>378</v>
      </c>
      <c r="H80" s="4" t="s">
        <v>328</v>
      </c>
      <c r="I80" s="4"/>
      <c r="J80" t="s">
        <v>262</v>
      </c>
      <c r="K80" t="s">
        <v>262</v>
      </c>
      <c r="L80">
        <v>7</v>
      </c>
      <c r="M80">
        <v>1</v>
      </c>
      <c r="N80" s="4">
        <v>38</v>
      </c>
      <c r="O80" s="4">
        <v>18</v>
      </c>
      <c r="P80" s="4">
        <v>38</v>
      </c>
      <c r="Q80">
        <f t="shared" si="2"/>
        <v>0.74194024570905082</v>
      </c>
    </row>
    <row r="81" spans="1:20" x14ac:dyDescent="0.2">
      <c r="A81">
        <v>80</v>
      </c>
      <c r="B81" t="s">
        <v>343</v>
      </c>
      <c r="C81" t="s">
        <v>15</v>
      </c>
      <c r="D81" t="s">
        <v>260</v>
      </c>
      <c r="E81" t="s">
        <v>261</v>
      </c>
      <c r="G81" t="s">
        <v>377</v>
      </c>
      <c r="H81" s="4" t="s">
        <v>325</v>
      </c>
      <c r="I81" s="4"/>
      <c r="J81" t="s">
        <v>262</v>
      </c>
      <c r="K81" t="s">
        <v>262</v>
      </c>
      <c r="L81">
        <v>7</v>
      </c>
      <c r="M81">
        <v>1</v>
      </c>
      <c r="N81" s="4">
        <v>50</v>
      </c>
      <c r="O81" s="4">
        <v>9</v>
      </c>
      <c r="P81" s="4">
        <v>35</v>
      </c>
      <c r="Q81">
        <f t="shared" si="2"/>
        <v>0.6613736613774277</v>
      </c>
    </row>
    <row r="82" spans="1:20" x14ac:dyDescent="0.2">
      <c r="A82">
        <v>81</v>
      </c>
      <c r="B82" t="s">
        <v>344</v>
      </c>
      <c r="C82" t="s">
        <v>15</v>
      </c>
      <c r="D82" t="s">
        <v>260</v>
      </c>
      <c r="E82" t="s">
        <v>261</v>
      </c>
      <c r="G82" t="s">
        <v>378</v>
      </c>
      <c r="H82" s="4" t="s">
        <v>327</v>
      </c>
      <c r="I82" s="4"/>
      <c r="J82" t="s">
        <v>262</v>
      </c>
      <c r="K82" t="s">
        <v>262</v>
      </c>
      <c r="L82">
        <v>7</v>
      </c>
      <c r="M82">
        <v>1</v>
      </c>
      <c r="N82" s="4">
        <v>33</v>
      </c>
      <c r="O82" s="4">
        <v>24</v>
      </c>
      <c r="P82" s="4">
        <v>37</v>
      </c>
      <c r="Q82">
        <f t="shared" si="2"/>
        <v>0.77279747334740434</v>
      </c>
    </row>
    <row r="83" spans="1:20" x14ac:dyDescent="0.2">
      <c r="A83">
        <v>82</v>
      </c>
      <c r="B83" t="s">
        <v>344</v>
      </c>
      <c r="C83" t="s">
        <v>15</v>
      </c>
      <c r="D83" t="s">
        <v>260</v>
      </c>
      <c r="E83" t="s">
        <v>261</v>
      </c>
      <c r="G83" t="s">
        <v>378</v>
      </c>
      <c r="H83" s="4" t="s">
        <v>326</v>
      </c>
      <c r="I83" s="4"/>
      <c r="J83" t="s">
        <v>262</v>
      </c>
      <c r="K83" t="s">
        <v>262</v>
      </c>
      <c r="L83">
        <v>7</v>
      </c>
      <c r="M83">
        <v>1</v>
      </c>
      <c r="N83" s="4">
        <v>33</v>
      </c>
      <c r="O83" s="4">
        <v>22</v>
      </c>
      <c r="P83" s="4">
        <v>39</v>
      </c>
      <c r="Q83">
        <f t="shared" si="2"/>
        <v>0.75591825206342622</v>
      </c>
    </row>
    <row r="84" spans="1:20" x14ac:dyDescent="0.2">
      <c r="A84">
        <v>83</v>
      </c>
      <c r="B84" t="s">
        <v>344</v>
      </c>
      <c r="C84" t="s">
        <v>15</v>
      </c>
      <c r="D84" t="s">
        <v>260</v>
      </c>
      <c r="E84" t="s">
        <v>261</v>
      </c>
      <c r="G84" t="s">
        <v>377</v>
      </c>
      <c r="H84" s="4" t="s">
        <v>325</v>
      </c>
      <c r="I84" s="4"/>
      <c r="J84" t="s">
        <v>262</v>
      </c>
      <c r="K84" t="s">
        <v>262</v>
      </c>
      <c r="L84">
        <v>7</v>
      </c>
      <c r="M84">
        <v>1</v>
      </c>
      <c r="N84" s="4">
        <v>41</v>
      </c>
      <c r="O84" s="4">
        <v>18</v>
      </c>
      <c r="P84" s="4">
        <v>35</v>
      </c>
      <c r="Q84">
        <f t="shared" si="2"/>
        <v>0.75351898157296937</v>
      </c>
    </row>
    <row r="85" spans="1:20" x14ac:dyDescent="0.2">
      <c r="A85">
        <v>84</v>
      </c>
      <c r="B85" t="s">
        <v>345</v>
      </c>
      <c r="C85" t="s">
        <v>15</v>
      </c>
      <c r="D85" t="s">
        <v>260</v>
      </c>
      <c r="E85" t="s">
        <v>261</v>
      </c>
      <c r="G85" t="s">
        <v>378</v>
      </c>
      <c r="H85" s="4" t="s">
        <v>326</v>
      </c>
      <c r="I85" s="4"/>
      <c r="J85" t="s">
        <v>262</v>
      </c>
      <c r="K85" t="s">
        <v>262</v>
      </c>
      <c r="L85">
        <v>7</v>
      </c>
      <c r="M85">
        <v>1</v>
      </c>
      <c r="N85" s="4">
        <v>34</v>
      </c>
      <c r="O85" s="4">
        <v>28</v>
      </c>
      <c r="P85" s="4">
        <v>32</v>
      </c>
      <c r="Q85">
        <f t="shared" si="2"/>
        <v>0.80962968469959351</v>
      </c>
    </row>
    <row r="86" spans="1:20" x14ac:dyDescent="0.2">
      <c r="A86">
        <v>85</v>
      </c>
      <c r="B86" t="s">
        <v>345</v>
      </c>
      <c r="C86" t="s">
        <v>15</v>
      </c>
      <c r="D86" t="s">
        <v>260</v>
      </c>
      <c r="E86" t="s">
        <v>261</v>
      </c>
      <c r="G86" t="s">
        <v>377</v>
      </c>
      <c r="H86" s="4" t="s">
        <v>325</v>
      </c>
      <c r="I86" s="4"/>
      <c r="J86" t="s">
        <v>262</v>
      </c>
      <c r="K86" t="s">
        <v>262</v>
      </c>
      <c r="L86">
        <v>7</v>
      </c>
      <c r="M86">
        <v>1</v>
      </c>
      <c r="N86" s="4">
        <v>37</v>
      </c>
      <c r="O86" s="4">
        <v>20</v>
      </c>
      <c r="P86" s="4">
        <v>37</v>
      </c>
      <c r="Q86">
        <f t="shared" si="2"/>
        <v>0.75741393665223677</v>
      </c>
    </row>
    <row r="87" spans="1:20" x14ac:dyDescent="0.2">
      <c r="A87">
        <v>86</v>
      </c>
      <c r="B87" t="s">
        <v>346</v>
      </c>
      <c r="C87" t="s">
        <v>15</v>
      </c>
      <c r="D87" t="s">
        <v>260</v>
      </c>
      <c r="E87" t="s">
        <v>261</v>
      </c>
      <c r="G87" t="s">
        <v>377</v>
      </c>
      <c r="H87" s="4" t="s">
        <v>325</v>
      </c>
      <c r="I87" s="4"/>
      <c r="J87" t="s">
        <v>262</v>
      </c>
      <c r="K87" t="s">
        <v>262</v>
      </c>
      <c r="L87">
        <v>7</v>
      </c>
      <c r="M87">
        <v>1</v>
      </c>
      <c r="N87" s="4">
        <v>40</v>
      </c>
      <c r="O87" s="4">
        <v>22</v>
      </c>
      <c r="P87" s="4">
        <v>32</v>
      </c>
      <c r="Q87">
        <f t="shared" si="2"/>
        <v>0.78924412727623006</v>
      </c>
    </row>
    <row r="88" spans="1:20" x14ac:dyDescent="0.2">
      <c r="A88">
        <v>87</v>
      </c>
      <c r="C88" t="s">
        <v>15</v>
      </c>
      <c r="D88" t="s">
        <v>263</v>
      </c>
      <c r="E88" t="s">
        <v>264</v>
      </c>
      <c r="G88" t="s">
        <v>377</v>
      </c>
      <c r="H88" t="s">
        <v>265</v>
      </c>
      <c r="J88" t="s">
        <v>266</v>
      </c>
      <c r="K88" t="s">
        <v>266</v>
      </c>
      <c r="M88">
        <v>1</v>
      </c>
      <c r="N88" s="4">
        <v>12</v>
      </c>
      <c r="O88" s="4">
        <v>0</v>
      </c>
      <c r="P88" s="4">
        <v>0</v>
      </c>
      <c r="Q88">
        <f t="shared" si="2"/>
        <v>0</v>
      </c>
      <c r="S88" t="s">
        <v>12</v>
      </c>
      <c r="T88" t="s">
        <v>250</v>
      </c>
    </row>
    <row r="89" spans="1:20" x14ac:dyDescent="0.2">
      <c r="A89">
        <v>88</v>
      </c>
      <c r="C89" t="s">
        <v>15</v>
      </c>
      <c r="D89" t="s">
        <v>267</v>
      </c>
      <c r="E89" t="s">
        <v>268</v>
      </c>
      <c r="G89" t="s">
        <v>377</v>
      </c>
      <c r="H89" t="s">
        <v>265</v>
      </c>
      <c r="J89" t="s">
        <v>269</v>
      </c>
      <c r="K89" t="s">
        <v>269</v>
      </c>
      <c r="M89">
        <v>1</v>
      </c>
      <c r="N89" s="4">
        <v>32</v>
      </c>
      <c r="O89" s="4">
        <v>1</v>
      </c>
      <c r="P89" s="4">
        <v>0</v>
      </c>
      <c r="Q89">
        <f t="shared" si="2"/>
        <v>0.34283965148438655</v>
      </c>
      <c r="S89" t="s">
        <v>12</v>
      </c>
      <c r="T89" t="s">
        <v>250</v>
      </c>
    </row>
    <row r="90" spans="1:20" x14ac:dyDescent="0.2">
      <c r="A90">
        <v>89</v>
      </c>
      <c r="C90" t="s">
        <v>15</v>
      </c>
      <c r="D90" t="s">
        <v>270</v>
      </c>
      <c r="E90" t="s">
        <v>271</v>
      </c>
      <c r="G90" t="s">
        <v>377</v>
      </c>
      <c r="H90" t="s">
        <v>272</v>
      </c>
      <c r="J90" t="s">
        <v>273</v>
      </c>
      <c r="K90" t="s">
        <v>273</v>
      </c>
      <c r="L90">
        <v>4</v>
      </c>
      <c r="M90">
        <v>1</v>
      </c>
      <c r="N90" s="4">
        <v>12</v>
      </c>
      <c r="O90" s="4">
        <v>15</v>
      </c>
      <c r="P90" s="4">
        <v>0</v>
      </c>
      <c r="Q90">
        <f t="shared" si="2"/>
        <v>0.99380798999990649</v>
      </c>
      <c r="R90" t="s">
        <v>373</v>
      </c>
      <c r="S90" t="s">
        <v>12</v>
      </c>
      <c r="T90" t="s">
        <v>250</v>
      </c>
    </row>
    <row r="91" spans="1:20" x14ac:dyDescent="0.2">
      <c r="A91">
        <v>90</v>
      </c>
      <c r="E91" t="s">
        <v>271</v>
      </c>
      <c r="G91" t="s">
        <v>378</v>
      </c>
      <c r="H91" t="s">
        <v>349</v>
      </c>
      <c r="J91" t="s">
        <v>273</v>
      </c>
      <c r="K91" t="s">
        <v>273</v>
      </c>
      <c r="L91">
        <v>4</v>
      </c>
      <c r="M91">
        <v>1</v>
      </c>
      <c r="N91" s="4">
        <v>3</v>
      </c>
      <c r="O91" s="4">
        <v>15</v>
      </c>
      <c r="P91" s="4">
        <v>0</v>
      </c>
      <c r="Q91">
        <f t="shared" si="2"/>
        <v>0.7453559924999299</v>
      </c>
      <c r="T91" t="s">
        <v>250</v>
      </c>
    </row>
    <row r="92" spans="1:20" x14ac:dyDescent="0.2">
      <c r="A92">
        <v>91</v>
      </c>
      <c r="E92" t="s">
        <v>271</v>
      </c>
      <c r="G92" t="s">
        <v>378</v>
      </c>
      <c r="H92" t="s">
        <v>350</v>
      </c>
      <c r="J92" t="s">
        <v>273</v>
      </c>
      <c r="K92" t="s">
        <v>273</v>
      </c>
      <c r="L92">
        <v>4</v>
      </c>
      <c r="M92">
        <v>1</v>
      </c>
      <c r="N92" s="4">
        <v>2</v>
      </c>
      <c r="O92" s="4">
        <v>15</v>
      </c>
      <c r="P92" s="4">
        <v>0</v>
      </c>
      <c r="Q92">
        <f t="shared" si="2"/>
        <v>0.64437947941784246</v>
      </c>
      <c r="T92" t="s">
        <v>250</v>
      </c>
    </row>
    <row r="93" spans="1:20" x14ac:dyDescent="0.2">
      <c r="A93">
        <v>92</v>
      </c>
      <c r="E93" t="s">
        <v>271</v>
      </c>
      <c r="G93" t="s">
        <v>378</v>
      </c>
      <c r="H93" t="s">
        <v>351</v>
      </c>
      <c r="J93" t="s">
        <v>273</v>
      </c>
      <c r="K93" t="s">
        <v>273</v>
      </c>
      <c r="L93">
        <v>4</v>
      </c>
      <c r="M93">
        <v>1</v>
      </c>
      <c r="N93" s="4">
        <v>2</v>
      </c>
      <c r="O93" s="4">
        <v>15</v>
      </c>
      <c r="P93" s="4">
        <v>0</v>
      </c>
      <c r="Q93">
        <f t="shared" si="2"/>
        <v>0.64437947941784246</v>
      </c>
      <c r="T93" t="s">
        <v>250</v>
      </c>
    </row>
    <row r="94" spans="1:20" x14ac:dyDescent="0.2">
      <c r="A94">
        <v>93</v>
      </c>
      <c r="C94" t="s">
        <v>15</v>
      </c>
      <c r="D94" t="s">
        <v>274</v>
      </c>
      <c r="E94" t="s">
        <v>275</v>
      </c>
      <c r="G94" t="s">
        <v>377</v>
      </c>
      <c r="H94" t="s">
        <v>272</v>
      </c>
      <c r="J94" t="s">
        <v>276</v>
      </c>
      <c r="K94" t="s">
        <v>273</v>
      </c>
      <c r="L94">
        <v>5</v>
      </c>
      <c r="M94">
        <v>1</v>
      </c>
      <c r="N94" s="4">
        <v>5</v>
      </c>
      <c r="O94" s="4">
        <v>0</v>
      </c>
      <c r="P94" s="4">
        <v>0</v>
      </c>
      <c r="Q94">
        <f t="shared" si="2"/>
        <v>0</v>
      </c>
      <c r="R94" t="s">
        <v>374</v>
      </c>
      <c r="S94" t="s">
        <v>12</v>
      </c>
      <c r="T94" t="s">
        <v>250</v>
      </c>
    </row>
    <row r="95" spans="1:20" x14ac:dyDescent="0.2">
      <c r="A95">
        <v>94</v>
      </c>
      <c r="C95" t="s">
        <v>15</v>
      </c>
      <c r="D95" t="s">
        <v>274</v>
      </c>
      <c r="E95" t="s">
        <v>275</v>
      </c>
      <c r="G95" t="s">
        <v>378</v>
      </c>
      <c r="H95" t="s">
        <v>277</v>
      </c>
      <c r="J95" t="s">
        <v>276</v>
      </c>
      <c r="K95" t="s">
        <v>273</v>
      </c>
      <c r="L95">
        <v>5</v>
      </c>
      <c r="M95">
        <v>1</v>
      </c>
      <c r="N95" s="4">
        <v>5</v>
      </c>
      <c r="O95" s="4">
        <v>0</v>
      </c>
      <c r="P95" s="4">
        <v>0</v>
      </c>
      <c r="Q95">
        <f t="shared" si="2"/>
        <v>0</v>
      </c>
      <c r="S95" t="s">
        <v>12</v>
      </c>
      <c r="T95" t="s">
        <v>250</v>
      </c>
    </row>
    <row r="96" spans="1:20" x14ac:dyDescent="0.2">
      <c r="A96">
        <v>95</v>
      </c>
      <c r="C96" t="s">
        <v>15</v>
      </c>
      <c r="D96" t="s">
        <v>274</v>
      </c>
      <c r="E96" t="s">
        <v>275</v>
      </c>
      <c r="G96" t="s">
        <v>378</v>
      </c>
      <c r="H96" t="s">
        <v>278</v>
      </c>
      <c r="J96" t="s">
        <v>276</v>
      </c>
      <c r="K96" t="s">
        <v>273</v>
      </c>
      <c r="L96">
        <v>5</v>
      </c>
      <c r="M96">
        <v>1</v>
      </c>
      <c r="N96" s="4">
        <v>5</v>
      </c>
      <c r="O96" s="4">
        <v>0</v>
      </c>
      <c r="P96" s="4">
        <v>0</v>
      </c>
      <c r="Q96">
        <f t="shared" si="2"/>
        <v>0</v>
      </c>
      <c r="S96" t="s">
        <v>12</v>
      </c>
      <c r="T96" t="s">
        <v>250</v>
      </c>
    </row>
    <row r="97" spans="1:20" x14ac:dyDescent="0.2">
      <c r="A97">
        <v>96</v>
      </c>
      <c r="C97" t="s">
        <v>15</v>
      </c>
      <c r="D97" t="s">
        <v>274</v>
      </c>
      <c r="E97" t="s">
        <v>275</v>
      </c>
      <c r="G97" t="s">
        <v>378</v>
      </c>
      <c r="H97" t="s">
        <v>279</v>
      </c>
      <c r="J97" t="s">
        <v>276</v>
      </c>
      <c r="K97" t="s">
        <v>273</v>
      </c>
      <c r="L97">
        <v>5</v>
      </c>
      <c r="M97">
        <v>1</v>
      </c>
      <c r="N97" s="4">
        <v>0</v>
      </c>
      <c r="O97" s="4">
        <v>5</v>
      </c>
      <c r="P97" s="4">
        <v>0</v>
      </c>
      <c r="Q97">
        <f t="shared" si="2"/>
        <v>0</v>
      </c>
      <c r="S97" t="s">
        <v>12</v>
      </c>
      <c r="T97" t="s">
        <v>250</v>
      </c>
    </row>
    <row r="98" spans="1:20" x14ac:dyDescent="0.2">
      <c r="A98">
        <v>97</v>
      </c>
      <c r="C98" t="s">
        <v>15</v>
      </c>
      <c r="D98" t="s">
        <v>274</v>
      </c>
      <c r="E98" t="s">
        <v>275</v>
      </c>
      <c r="G98" t="s">
        <v>378</v>
      </c>
      <c r="H98" t="s">
        <v>280</v>
      </c>
      <c r="J98" t="s">
        <v>276</v>
      </c>
      <c r="K98" t="s">
        <v>273</v>
      </c>
      <c r="L98">
        <v>5</v>
      </c>
      <c r="M98">
        <v>1</v>
      </c>
      <c r="N98" s="4">
        <v>0</v>
      </c>
      <c r="O98" s="4">
        <v>5</v>
      </c>
      <c r="P98" s="4">
        <v>0</v>
      </c>
      <c r="Q98">
        <f t="shared" si="2"/>
        <v>0</v>
      </c>
      <c r="S98" t="s">
        <v>12</v>
      </c>
      <c r="T98" t="s">
        <v>250</v>
      </c>
    </row>
    <row r="99" spans="1:20" x14ac:dyDescent="0.2">
      <c r="A99">
        <v>98</v>
      </c>
      <c r="C99" t="s">
        <v>15</v>
      </c>
      <c r="D99" t="s">
        <v>281</v>
      </c>
      <c r="E99" t="s">
        <v>282</v>
      </c>
      <c r="G99" t="s">
        <v>377</v>
      </c>
      <c r="H99" t="s">
        <v>352</v>
      </c>
      <c r="J99" t="s">
        <v>284</v>
      </c>
      <c r="K99" t="s">
        <v>284</v>
      </c>
      <c r="M99">
        <v>1</v>
      </c>
      <c r="N99" s="4">
        <v>40</v>
      </c>
      <c r="O99" s="4">
        <v>6</v>
      </c>
      <c r="P99" s="4">
        <v>0</v>
      </c>
      <c r="Q99">
        <f t="shared" si="2"/>
        <v>0.67356232107955083</v>
      </c>
      <c r="S99" t="s">
        <v>12</v>
      </c>
      <c r="T99" t="s">
        <v>250</v>
      </c>
    </row>
    <row r="100" spans="1:20" x14ac:dyDescent="0.2">
      <c r="A100">
        <v>99</v>
      </c>
      <c r="C100" t="s">
        <v>15</v>
      </c>
      <c r="D100" t="s">
        <v>281</v>
      </c>
      <c r="E100" t="s">
        <v>282</v>
      </c>
      <c r="G100" t="s">
        <v>377</v>
      </c>
      <c r="H100" t="s">
        <v>353</v>
      </c>
      <c r="J100" t="s">
        <v>284</v>
      </c>
      <c r="K100" t="s">
        <v>284</v>
      </c>
      <c r="M100">
        <v>1</v>
      </c>
      <c r="N100" s="4">
        <v>24</v>
      </c>
      <c r="O100" s="4">
        <v>14</v>
      </c>
      <c r="P100" s="4">
        <v>0</v>
      </c>
      <c r="Q100">
        <f t="shared" si="2"/>
        <v>0.96475277788544</v>
      </c>
      <c r="T100" t="s">
        <v>250</v>
      </c>
    </row>
    <row r="101" spans="1:20" x14ac:dyDescent="0.2">
      <c r="A101">
        <v>100</v>
      </c>
      <c r="C101" t="s">
        <v>15</v>
      </c>
      <c r="D101" t="s">
        <v>285</v>
      </c>
      <c r="E101" t="s">
        <v>286</v>
      </c>
      <c r="G101" t="s">
        <v>377</v>
      </c>
      <c r="H101" t="s">
        <v>287</v>
      </c>
      <c r="J101" t="s">
        <v>288</v>
      </c>
      <c r="K101" t="s">
        <v>288</v>
      </c>
      <c r="M101">
        <v>1</v>
      </c>
      <c r="N101" s="4">
        <v>5</v>
      </c>
      <c r="O101" s="4">
        <v>0</v>
      </c>
      <c r="P101" s="4">
        <v>0</v>
      </c>
      <c r="Q101">
        <f t="shared" si="2"/>
        <v>0</v>
      </c>
      <c r="R101" t="s">
        <v>354</v>
      </c>
      <c r="S101" t="s">
        <v>12</v>
      </c>
      <c r="T101" t="s">
        <v>250</v>
      </c>
    </row>
    <row r="102" spans="1:20" x14ac:dyDescent="0.2">
      <c r="A102">
        <v>101</v>
      </c>
      <c r="C102" t="s">
        <v>15</v>
      </c>
      <c r="D102" t="s">
        <v>289</v>
      </c>
      <c r="E102" t="s">
        <v>290</v>
      </c>
      <c r="G102" t="s">
        <v>377</v>
      </c>
      <c r="H102" t="s">
        <v>283</v>
      </c>
      <c r="J102" t="s">
        <v>291</v>
      </c>
      <c r="K102" t="s">
        <v>291</v>
      </c>
      <c r="M102">
        <v>1</v>
      </c>
      <c r="N102" s="4">
        <v>5</v>
      </c>
      <c r="O102" s="4">
        <v>0</v>
      </c>
      <c r="P102" s="4">
        <v>0</v>
      </c>
      <c r="Q102">
        <f t="shared" si="2"/>
        <v>0</v>
      </c>
      <c r="S102" t="s">
        <v>12</v>
      </c>
      <c r="T102" t="s">
        <v>250</v>
      </c>
    </row>
    <row r="103" spans="1:20" x14ac:dyDescent="0.2">
      <c r="A103">
        <v>102</v>
      </c>
      <c r="C103" t="s">
        <v>15</v>
      </c>
      <c r="D103" t="s">
        <v>292</v>
      </c>
      <c r="E103" t="s">
        <v>293</v>
      </c>
      <c r="G103" t="s">
        <v>377</v>
      </c>
      <c r="H103" t="s">
        <v>265</v>
      </c>
      <c r="J103" t="s">
        <v>294</v>
      </c>
      <c r="K103" t="s">
        <v>294</v>
      </c>
      <c r="M103">
        <v>1</v>
      </c>
      <c r="N103" s="4">
        <v>29</v>
      </c>
      <c r="O103" s="4">
        <v>4</v>
      </c>
      <c r="P103" s="4">
        <v>0</v>
      </c>
      <c r="Q103">
        <f t="shared" si="2"/>
        <v>0.6527472493496369</v>
      </c>
      <c r="S103" t="s">
        <v>12</v>
      </c>
      <c r="T103" t="s">
        <v>250</v>
      </c>
    </row>
    <row r="104" spans="1:20" x14ac:dyDescent="0.2">
      <c r="A104">
        <v>103</v>
      </c>
      <c r="C104" t="s">
        <v>15</v>
      </c>
      <c r="D104" t="s">
        <v>295</v>
      </c>
      <c r="E104" t="s">
        <v>296</v>
      </c>
      <c r="G104" t="s">
        <v>377</v>
      </c>
      <c r="H104" t="s">
        <v>265</v>
      </c>
      <c r="J104" t="s">
        <v>297</v>
      </c>
      <c r="K104" t="s">
        <v>297</v>
      </c>
      <c r="M104">
        <v>1</v>
      </c>
      <c r="N104" s="4">
        <v>47</v>
      </c>
      <c r="O104" s="4">
        <v>4</v>
      </c>
      <c r="P104" s="4">
        <v>0</v>
      </c>
      <c r="Q104">
        <f t="shared" si="2"/>
        <v>0.53769840003145453</v>
      </c>
      <c r="S104" t="s">
        <v>12</v>
      </c>
      <c r="T104" t="s">
        <v>250</v>
      </c>
    </row>
    <row r="105" spans="1:20" x14ac:dyDescent="0.2">
      <c r="A105">
        <v>104</v>
      </c>
      <c r="D105" t="s">
        <v>298</v>
      </c>
      <c r="E105" t="s">
        <v>299</v>
      </c>
      <c r="G105" t="s">
        <v>377</v>
      </c>
      <c r="H105" t="s">
        <v>355</v>
      </c>
      <c r="J105" t="s">
        <v>300</v>
      </c>
      <c r="K105" t="s">
        <v>300</v>
      </c>
      <c r="M105">
        <v>1</v>
      </c>
      <c r="N105" s="4">
        <v>35</v>
      </c>
      <c r="O105" s="4">
        <v>4</v>
      </c>
      <c r="P105" s="4">
        <v>0</v>
      </c>
      <c r="Q105">
        <f t="shared" si="2"/>
        <v>0.60677741365124271</v>
      </c>
      <c r="T105" t="s">
        <v>250</v>
      </c>
    </row>
    <row r="106" spans="1:20" x14ac:dyDescent="0.2">
      <c r="A106">
        <v>105</v>
      </c>
      <c r="C106" t="s">
        <v>15</v>
      </c>
      <c r="D106" t="s">
        <v>298</v>
      </c>
      <c r="E106" t="s">
        <v>299</v>
      </c>
      <c r="G106" t="s">
        <v>378</v>
      </c>
      <c r="H106" t="s">
        <v>356</v>
      </c>
      <c r="J106" t="s">
        <v>300</v>
      </c>
      <c r="K106" t="s">
        <v>300</v>
      </c>
      <c r="M106">
        <v>1</v>
      </c>
      <c r="N106" s="4">
        <v>27</v>
      </c>
      <c r="O106" s="4">
        <v>4</v>
      </c>
      <c r="P106" s="4">
        <v>0</v>
      </c>
      <c r="Q106">
        <f t="shared" si="2"/>
        <v>0.67047128034924275</v>
      </c>
      <c r="S106" t="s">
        <v>12</v>
      </c>
      <c r="T106" t="s">
        <v>250</v>
      </c>
    </row>
    <row r="107" spans="1:20" x14ac:dyDescent="0.2">
      <c r="A107">
        <v>106</v>
      </c>
      <c r="C107" t="s">
        <v>15</v>
      </c>
      <c r="D107" t="s">
        <v>302</v>
      </c>
      <c r="E107" t="s">
        <v>303</v>
      </c>
      <c r="G107" t="s">
        <v>377</v>
      </c>
      <c r="H107" t="s">
        <v>301</v>
      </c>
      <c r="J107" s="1" t="s">
        <v>357</v>
      </c>
      <c r="K107" t="s">
        <v>304</v>
      </c>
      <c r="M107">
        <v>1</v>
      </c>
      <c r="N107" s="4">
        <v>30</v>
      </c>
      <c r="O107" s="4">
        <v>0</v>
      </c>
      <c r="P107" s="4">
        <v>0</v>
      </c>
      <c r="Q107">
        <f t="shared" si="2"/>
        <v>0</v>
      </c>
      <c r="S107" t="s">
        <v>12</v>
      </c>
      <c r="T107" t="s">
        <v>250</v>
      </c>
    </row>
    <row r="108" spans="1:20" x14ac:dyDescent="0.2">
      <c r="A108">
        <v>107</v>
      </c>
      <c r="C108" t="s">
        <v>15</v>
      </c>
      <c r="D108" t="s">
        <v>305</v>
      </c>
      <c r="E108" t="s">
        <v>306</v>
      </c>
      <c r="G108" t="s">
        <v>377</v>
      </c>
      <c r="H108" t="s">
        <v>265</v>
      </c>
      <c r="J108" t="s">
        <v>307</v>
      </c>
      <c r="K108" t="s">
        <v>307</v>
      </c>
      <c r="M108">
        <v>1</v>
      </c>
      <c r="N108" s="4">
        <v>37</v>
      </c>
      <c r="O108" s="4">
        <v>1</v>
      </c>
      <c r="P108" s="4">
        <v>0</v>
      </c>
      <c r="Q108">
        <f t="shared" si="2"/>
        <v>0.32014539633148548</v>
      </c>
      <c r="S108" t="s">
        <v>12</v>
      </c>
      <c r="T108" t="s">
        <v>250</v>
      </c>
    </row>
    <row r="109" spans="1:20" ht="64" x14ac:dyDescent="0.2">
      <c r="A109">
        <v>108</v>
      </c>
      <c r="C109" t="s">
        <v>15</v>
      </c>
      <c r="D109" t="s">
        <v>221</v>
      </c>
      <c r="E109" t="s">
        <v>308</v>
      </c>
      <c r="G109" t="s">
        <v>377</v>
      </c>
      <c r="H109" t="s">
        <v>301</v>
      </c>
      <c r="J109" s="6" t="s">
        <v>358</v>
      </c>
      <c r="K109" s="3" t="s">
        <v>371</v>
      </c>
      <c r="M109">
        <v>1</v>
      </c>
      <c r="N109" s="4">
        <v>5</v>
      </c>
      <c r="O109" s="4">
        <v>0</v>
      </c>
      <c r="P109" s="4">
        <v>0</v>
      </c>
      <c r="Q109">
        <f t="shared" si="2"/>
        <v>0</v>
      </c>
      <c r="R109" t="s">
        <v>359</v>
      </c>
      <c r="S109" t="s">
        <v>12</v>
      </c>
      <c r="T109" t="s">
        <v>250</v>
      </c>
    </row>
    <row r="110" spans="1:20" x14ac:dyDescent="0.2">
      <c r="A110">
        <v>109</v>
      </c>
      <c r="C110" t="s">
        <v>15</v>
      </c>
      <c r="D110" t="s">
        <v>309</v>
      </c>
      <c r="E110" t="s">
        <v>310</v>
      </c>
      <c r="G110" t="s">
        <v>377</v>
      </c>
      <c r="H110" t="s">
        <v>360</v>
      </c>
      <c r="I110" t="s">
        <v>362</v>
      </c>
      <c r="J110" t="s">
        <v>311</v>
      </c>
      <c r="K110" t="s">
        <v>311</v>
      </c>
      <c r="L110">
        <v>4</v>
      </c>
      <c r="M110">
        <v>1</v>
      </c>
      <c r="N110" s="4">
        <v>49</v>
      </c>
      <c r="O110">
        <v>47</v>
      </c>
      <c r="P110" s="4">
        <v>0</v>
      </c>
      <c r="Q110">
        <f t="shared" si="2"/>
        <v>0.99978296255848564</v>
      </c>
      <c r="S110" t="s">
        <v>12</v>
      </c>
      <c r="T110" t="s">
        <v>250</v>
      </c>
    </row>
    <row r="111" spans="1:20" x14ac:dyDescent="0.2">
      <c r="A111">
        <v>110</v>
      </c>
      <c r="C111" t="s">
        <v>15</v>
      </c>
      <c r="D111" t="s">
        <v>309</v>
      </c>
      <c r="E111" t="s">
        <v>310</v>
      </c>
      <c r="G111" t="s">
        <v>378</v>
      </c>
      <c r="H111" t="s">
        <v>360</v>
      </c>
      <c r="I111" t="s">
        <v>362</v>
      </c>
      <c r="J111" t="s">
        <v>311</v>
      </c>
      <c r="K111" t="s">
        <v>311</v>
      </c>
      <c r="L111">
        <v>4</v>
      </c>
      <c r="M111">
        <v>1</v>
      </c>
      <c r="N111" s="4">
        <v>32</v>
      </c>
      <c r="O111">
        <v>64</v>
      </c>
      <c r="P111" s="4">
        <v>0</v>
      </c>
      <c r="Q111">
        <f t="shared" si="2"/>
        <v>0.94280904158206336</v>
      </c>
      <c r="S111" t="s">
        <v>12</v>
      </c>
      <c r="T111" t="s">
        <v>250</v>
      </c>
    </row>
    <row r="112" spans="1:20" x14ac:dyDescent="0.2">
      <c r="A112">
        <v>111</v>
      </c>
      <c r="C112" t="s">
        <v>15</v>
      </c>
      <c r="D112" t="s">
        <v>309</v>
      </c>
      <c r="E112" t="s">
        <v>310</v>
      </c>
      <c r="G112" t="s">
        <v>378</v>
      </c>
      <c r="H112" t="s">
        <v>360</v>
      </c>
      <c r="I112" t="s">
        <v>362</v>
      </c>
      <c r="J112" t="s">
        <v>311</v>
      </c>
      <c r="K112" t="s">
        <v>311</v>
      </c>
      <c r="L112">
        <v>4</v>
      </c>
      <c r="M112">
        <v>1</v>
      </c>
      <c r="N112" s="4">
        <v>6</v>
      </c>
      <c r="O112">
        <v>90</v>
      </c>
      <c r="P112" s="4">
        <v>0</v>
      </c>
      <c r="Q112">
        <f t="shared" si="2"/>
        <v>0.48412291827592713</v>
      </c>
      <c r="S112" t="s">
        <v>12</v>
      </c>
      <c r="T112" t="s">
        <v>250</v>
      </c>
    </row>
    <row r="113" spans="1:20" x14ac:dyDescent="0.2">
      <c r="A113">
        <v>112</v>
      </c>
      <c r="D113" t="s">
        <v>309</v>
      </c>
      <c r="E113" t="s">
        <v>310</v>
      </c>
      <c r="G113" t="s">
        <v>378</v>
      </c>
      <c r="H113" t="s">
        <v>360</v>
      </c>
      <c r="I113" t="s">
        <v>362</v>
      </c>
      <c r="J113" t="s">
        <v>311</v>
      </c>
      <c r="K113" t="s">
        <v>311</v>
      </c>
      <c r="L113">
        <v>4</v>
      </c>
      <c r="M113">
        <v>1</v>
      </c>
      <c r="N113" s="4">
        <v>5</v>
      </c>
      <c r="O113">
        <v>91</v>
      </c>
      <c r="P113" s="4">
        <v>0</v>
      </c>
      <c r="Q113">
        <f t="shared" si="2"/>
        <v>0.44439018766044874</v>
      </c>
      <c r="T113" t="s">
        <v>250</v>
      </c>
    </row>
    <row r="114" spans="1:20" x14ac:dyDescent="0.2">
      <c r="A114">
        <v>113</v>
      </c>
      <c r="D114" t="s">
        <v>309</v>
      </c>
      <c r="E114" t="s">
        <v>310</v>
      </c>
      <c r="G114" t="s">
        <v>378</v>
      </c>
      <c r="H114" t="s">
        <v>360</v>
      </c>
      <c r="I114" t="s">
        <v>362</v>
      </c>
      <c r="J114" t="s">
        <v>311</v>
      </c>
      <c r="K114" t="s">
        <v>311</v>
      </c>
      <c r="L114">
        <v>4</v>
      </c>
      <c r="M114">
        <v>1</v>
      </c>
      <c r="N114" s="4">
        <v>4</v>
      </c>
      <c r="O114">
        <v>92</v>
      </c>
      <c r="P114" s="4">
        <v>0</v>
      </c>
      <c r="Q114">
        <f t="shared" si="2"/>
        <v>0.39965262694272674</v>
      </c>
      <c r="T114" t="s">
        <v>250</v>
      </c>
    </row>
    <row r="115" spans="1:20" x14ac:dyDescent="0.2">
      <c r="A115">
        <v>114</v>
      </c>
      <c r="D115" t="s">
        <v>309</v>
      </c>
      <c r="E115" t="s">
        <v>310</v>
      </c>
      <c r="G115" t="s">
        <v>377</v>
      </c>
      <c r="H115" t="s">
        <v>360</v>
      </c>
      <c r="I115" t="s">
        <v>363</v>
      </c>
      <c r="J115" t="s">
        <v>311</v>
      </c>
      <c r="K115" t="s">
        <v>311</v>
      </c>
      <c r="L115">
        <v>5</v>
      </c>
      <c r="M115">
        <v>1</v>
      </c>
      <c r="N115" s="4">
        <v>31</v>
      </c>
      <c r="O115">
        <v>59</v>
      </c>
      <c r="P115" s="4">
        <v>0</v>
      </c>
      <c r="Q115">
        <f t="shared" si="2"/>
        <v>0.95037354579302646</v>
      </c>
      <c r="T115" t="s">
        <v>250</v>
      </c>
    </row>
    <row r="116" spans="1:20" x14ac:dyDescent="0.2">
      <c r="A116">
        <v>115</v>
      </c>
      <c r="D116" t="s">
        <v>309</v>
      </c>
      <c r="E116" t="s">
        <v>310</v>
      </c>
      <c r="G116" t="s">
        <v>378</v>
      </c>
      <c r="H116" t="s">
        <v>360</v>
      </c>
      <c r="I116" t="s">
        <v>363</v>
      </c>
      <c r="J116" t="s">
        <v>311</v>
      </c>
      <c r="K116" t="s">
        <v>311</v>
      </c>
      <c r="L116">
        <v>5</v>
      </c>
      <c r="M116">
        <v>1</v>
      </c>
      <c r="N116" s="4">
        <v>29</v>
      </c>
      <c r="O116">
        <v>61</v>
      </c>
      <c r="P116" s="4">
        <v>0</v>
      </c>
      <c r="Q116">
        <f t="shared" si="2"/>
        <v>0.93465514865835964</v>
      </c>
      <c r="T116" t="s">
        <v>250</v>
      </c>
    </row>
    <row r="117" spans="1:20" x14ac:dyDescent="0.2">
      <c r="A117">
        <v>116</v>
      </c>
      <c r="D117" t="s">
        <v>309</v>
      </c>
      <c r="E117" t="s">
        <v>310</v>
      </c>
      <c r="G117" t="s">
        <v>378</v>
      </c>
      <c r="H117" t="s">
        <v>360</v>
      </c>
      <c r="I117" t="s">
        <v>363</v>
      </c>
      <c r="J117" t="s">
        <v>311</v>
      </c>
      <c r="K117" t="s">
        <v>311</v>
      </c>
      <c r="L117">
        <v>5</v>
      </c>
      <c r="M117">
        <v>1</v>
      </c>
      <c r="N117" s="4">
        <v>17</v>
      </c>
      <c r="O117">
        <v>73</v>
      </c>
      <c r="P117" s="4">
        <v>0</v>
      </c>
      <c r="Q117">
        <f t="shared" si="2"/>
        <v>0.78284066461371282</v>
      </c>
      <c r="T117" t="s">
        <v>250</v>
      </c>
    </row>
    <row r="118" spans="1:20" x14ac:dyDescent="0.2">
      <c r="A118">
        <v>117</v>
      </c>
      <c r="D118" t="s">
        <v>309</v>
      </c>
      <c r="E118" t="s">
        <v>310</v>
      </c>
      <c r="G118" t="s">
        <v>378</v>
      </c>
      <c r="H118" t="s">
        <v>360</v>
      </c>
      <c r="I118" t="s">
        <v>363</v>
      </c>
      <c r="J118" t="s">
        <v>311</v>
      </c>
      <c r="K118" t="s">
        <v>311</v>
      </c>
      <c r="L118">
        <v>5</v>
      </c>
      <c r="M118">
        <v>1</v>
      </c>
      <c r="N118" s="4">
        <v>11</v>
      </c>
      <c r="O118">
        <v>79</v>
      </c>
      <c r="P118" s="4">
        <v>0</v>
      </c>
      <c r="Q118">
        <f t="shared" si="2"/>
        <v>0.65508457657705221</v>
      </c>
      <c r="T118" t="s">
        <v>250</v>
      </c>
    </row>
    <row r="119" spans="1:20" x14ac:dyDescent="0.2">
      <c r="A119">
        <v>118</v>
      </c>
      <c r="D119" t="s">
        <v>309</v>
      </c>
      <c r="E119" t="s">
        <v>310</v>
      </c>
      <c r="G119" t="s">
        <v>378</v>
      </c>
      <c r="H119" t="s">
        <v>360</v>
      </c>
      <c r="I119" t="s">
        <v>363</v>
      </c>
      <c r="J119" t="s">
        <v>311</v>
      </c>
      <c r="K119" t="s">
        <v>311</v>
      </c>
      <c r="L119">
        <v>5</v>
      </c>
      <c r="M119">
        <v>1</v>
      </c>
      <c r="N119" s="4">
        <v>1</v>
      </c>
      <c r="O119">
        <v>89</v>
      </c>
      <c r="P119" s="4">
        <v>0</v>
      </c>
      <c r="Q119">
        <f t="shared" si="2"/>
        <v>0.20964402515681355</v>
      </c>
      <c r="T119" t="s">
        <v>250</v>
      </c>
    </row>
    <row r="120" spans="1:20" x14ac:dyDescent="0.2">
      <c r="A120">
        <v>119</v>
      </c>
      <c r="D120" t="s">
        <v>309</v>
      </c>
      <c r="E120" t="s">
        <v>310</v>
      </c>
      <c r="G120" t="s">
        <v>378</v>
      </c>
      <c r="H120" t="s">
        <v>360</v>
      </c>
      <c r="I120" t="s">
        <v>363</v>
      </c>
      <c r="J120" t="s">
        <v>311</v>
      </c>
      <c r="K120" t="s">
        <v>311</v>
      </c>
      <c r="L120">
        <v>5</v>
      </c>
      <c r="M120">
        <v>1</v>
      </c>
      <c r="N120" s="4">
        <v>1</v>
      </c>
      <c r="O120">
        <v>89</v>
      </c>
      <c r="P120" s="4">
        <v>0</v>
      </c>
      <c r="Q120">
        <f t="shared" si="2"/>
        <v>0.20964402515681355</v>
      </c>
      <c r="T120" t="s">
        <v>250</v>
      </c>
    </row>
    <row r="121" spans="1:20" x14ac:dyDescent="0.2">
      <c r="A121">
        <v>120</v>
      </c>
      <c r="D121" t="s">
        <v>309</v>
      </c>
      <c r="E121" t="s">
        <v>310</v>
      </c>
      <c r="G121" t="s">
        <v>377</v>
      </c>
      <c r="H121" t="s">
        <v>360</v>
      </c>
      <c r="I121" t="s">
        <v>364</v>
      </c>
      <c r="J121" t="s">
        <v>311</v>
      </c>
      <c r="K121" t="s">
        <v>311</v>
      </c>
      <c r="L121">
        <v>5</v>
      </c>
      <c r="M121">
        <v>1</v>
      </c>
      <c r="N121" s="4">
        <v>45</v>
      </c>
      <c r="O121">
        <v>41</v>
      </c>
      <c r="P121" s="4">
        <v>0</v>
      </c>
      <c r="Q121">
        <f t="shared" si="2"/>
        <v>0.99891774860067584</v>
      </c>
      <c r="T121" t="s">
        <v>250</v>
      </c>
    </row>
    <row r="122" spans="1:20" x14ac:dyDescent="0.2">
      <c r="A122">
        <v>121</v>
      </c>
      <c r="D122" t="s">
        <v>309</v>
      </c>
      <c r="E122" t="s">
        <v>310</v>
      </c>
      <c r="G122" t="s">
        <v>378</v>
      </c>
      <c r="H122" t="s">
        <v>360</v>
      </c>
      <c r="I122" t="s">
        <v>364</v>
      </c>
      <c r="J122" t="s">
        <v>311</v>
      </c>
      <c r="K122" t="s">
        <v>311</v>
      </c>
      <c r="L122">
        <v>5</v>
      </c>
      <c r="M122">
        <v>1</v>
      </c>
      <c r="N122" s="4">
        <v>15</v>
      </c>
      <c r="O122">
        <v>71</v>
      </c>
      <c r="P122" s="4">
        <v>0</v>
      </c>
      <c r="Q122">
        <f t="shared" si="2"/>
        <v>0.75893808707352184</v>
      </c>
      <c r="T122" t="s">
        <v>250</v>
      </c>
    </row>
    <row r="123" spans="1:20" x14ac:dyDescent="0.2">
      <c r="A123">
        <v>122</v>
      </c>
      <c r="D123" t="s">
        <v>309</v>
      </c>
      <c r="E123" t="s">
        <v>310</v>
      </c>
      <c r="G123" t="s">
        <v>378</v>
      </c>
      <c r="H123" t="s">
        <v>360</v>
      </c>
      <c r="I123" t="s">
        <v>364</v>
      </c>
      <c r="J123" t="s">
        <v>311</v>
      </c>
      <c r="K123" t="s">
        <v>311</v>
      </c>
      <c r="L123">
        <v>5</v>
      </c>
      <c r="M123">
        <v>1</v>
      </c>
      <c r="N123" s="4">
        <v>9</v>
      </c>
      <c r="O123">
        <v>77</v>
      </c>
      <c r="P123" s="4">
        <v>0</v>
      </c>
      <c r="Q123">
        <f t="shared" si="2"/>
        <v>0.61220681772503183</v>
      </c>
      <c r="T123" t="s">
        <v>250</v>
      </c>
    </row>
    <row r="124" spans="1:20" x14ac:dyDescent="0.2">
      <c r="A124">
        <v>123</v>
      </c>
      <c r="D124" t="s">
        <v>309</v>
      </c>
      <c r="E124" t="s">
        <v>310</v>
      </c>
      <c r="G124" t="s">
        <v>378</v>
      </c>
      <c r="H124" t="s">
        <v>360</v>
      </c>
      <c r="I124" t="s">
        <v>364</v>
      </c>
      <c r="J124" t="s">
        <v>311</v>
      </c>
      <c r="K124" t="s">
        <v>311</v>
      </c>
      <c r="L124">
        <v>5</v>
      </c>
      <c r="M124">
        <v>1</v>
      </c>
      <c r="N124" s="4">
        <v>8</v>
      </c>
      <c r="O124">
        <v>78</v>
      </c>
      <c r="P124" s="4">
        <v>0</v>
      </c>
      <c r="Q124">
        <f t="shared" si="2"/>
        <v>0.58093004636264167</v>
      </c>
      <c r="T124" t="s">
        <v>250</v>
      </c>
    </row>
    <row r="125" spans="1:20" x14ac:dyDescent="0.2">
      <c r="A125">
        <v>124</v>
      </c>
      <c r="D125" t="s">
        <v>309</v>
      </c>
      <c r="E125" t="s">
        <v>310</v>
      </c>
      <c r="G125" t="s">
        <v>378</v>
      </c>
      <c r="H125" t="s">
        <v>360</v>
      </c>
      <c r="I125" t="s">
        <v>364</v>
      </c>
      <c r="J125" t="s">
        <v>311</v>
      </c>
      <c r="K125" t="s">
        <v>311</v>
      </c>
      <c r="L125">
        <v>5</v>
      </c>
      <c r="M125">
        <v>1</v>
      </c>
      <c r="N125" s="4">
        <v>6</v>
      </c>
      <c r="O125">
        <v>80</v>
      </c>
      <c r="P125" s="4">
        <v>0</v>
      </c>
      <c r="Q125">
        <f t="shared" si="2"/>
        <v>0.50950935581875922</v>
      </c>
      <c r="T125" t="s">
        <v>250</v>
      </c>
    </row>
    <row r="126" spans="1:20" x14ac:dyDescent="0.2">
      <c r="A126">
        <v>125</v>
      </c>
      <c r="D126" t="s">
        <v>309</v>
      </c>
      <c r="E126" t="s">
        <v>310</v>
      </c>
      <c r="G126" t="s">
        <v>378</v>
      </c>
      <c r="H126" t="s">
        <v>360</v>
      </c>
      <c r="I126" t="s">
        <v>364</v>
      </c>
      <c r="J126" t="s">
        <v>311</v>
      </c>
      <c r="K126" t="s">
        <v>311</v>
      </c>
      <c r="L126">
        <v>5</v>
      </c>
      <c r="M126">
        <v>1</v>
      </c>
      <c r="N126" s="4">
        <v>3</v>
      </c>
      <c r="O126">
        <v>83</v>
      </c>
      <c r="P126" s="4">
        <v>0</v>
      </c>
      <c r="Q126">
        <f t="shared" si="2"/>
        <v>0.36697055437347681</v>
      </c>
      <c r="T126" t="s">
        <v>250</v>
      </c>
    </row>
    <row r="127" spans="1:20" x14ac:dyDescent="0.2">
      <c r="A127">
        <v>126</v>
      </c>
      <c r="D127" t="s">
        <v>309</v>
      </c>
      <c r="E127" t="s">
        <v>310</v>
      </c>
      <c r="G127" t="s">
        <v>377</v>
      </c>
      <c r="H127" t="s">
        <v>360</v>
      </c>
      <c r="I127" t="s">
        <v>365</v>
      </c>
      <c r="J127" t="s">
        <v>311</v>
      </c>
      <c r="K127" t="s">
        <v>311</v>
      </c>
      <c r="L127">
        <v>4</v>
      </c>
      <c r="M127">
        <v>1</v>
      </c>
      <c r="N127" s="4">
        <v>39</v>
      </c>
      <c r="O127">
        <v>51</v>
      </c>
      <c r="P127" s="4">
        <v>0</v>
      </c>
      <c r="Q127">
        <f t="shared" si="2"/>
        <v>0.99107124982123374</v>
      </c>
      <c r="T127" t="s">
        <v>250</v>
      </c>
    </row>
    <row r="128" spans="1:20" x14ac:dyDescent="0.2">
      <c r="A128">
        <v>127</v>
      </c>
      <c r="D128" t="s">
        <v>309</v>
      </c>
      <c r="E128" t="s">
        <v>310</v>
      </c>
      <c r="G128" t="s">
        <v>378</v>
      </c>
      <c r="H128" t="s">
        <v>360</v>
      </c>
      <c r="I128" t="s">
        <v>365</v>
      </c>
      <c r="J128" t="s">
        <v>311</v>
      </c>
      <c r="K128" t="s">
        <v>311</v>
      </c>
      <c r="L128">
        <v>4</v>
      </c>
      <c r="M128">
        <v>1</v>
      </c>
      <c r="N128" s="4">
        <v>22</v>
      </c>
      <c r="O128">
        <v>68</v>
      </c>
      <c r="P128" s="4">
        <v>0</v>
      </c>
      <c r="Q128">
        <f t="shared" si="2"/>
        <v>0.85951464914727638</v>
      </c>
      <c r="T128" t="s">
        <v>250</v>
      </c>
    </row>
    <row r="129" spans="1:20" x14ac:dyDescent="0.2">
      <c r="A129">
        <v>128</v>
      </c>
      <c r="D129" t="s">
        <v>309</v>
      </c>
      <c r="E129" t="s">
        <v>310</v>
      </c>
      <c r="G129" t="s">
        <v>378</v>
      </c>
      <c r="H129" t="s">
        <v>360</v>
      </c>
      <c r="I129" t="s">
        <v>365</v>
      </c>
      <c r="J129" t="s">
        <v>311</v>
      </c>
      <c r="K129" t="s">
        <v>311</v>
      </c>
      <c r="L129">
        <v>4</v>
      </c>
      <c r="M129">
        <v>1</v>
      </c>
      <c r="N129" s="4">
        <v>18</v>
      </c>
      <c r="O129">
        <v>72</v>
      </c>
      <c r="P129" s="4">
        <v>0</v>
      </c>
      <c r="Q129">
        <f t="shared" si="2"/>
        <v>0.8</v>
      </c>
      <c r="T129" t="s">
        <v>250</v>
      </c>
    </row>
    <row r="130" spans="1:20" x14ac:dyDescent="0.2">
      <c r="A130">
        <v>129</v>
      </c>
      <c r="D130" t="s">
        <v>309</v>
      </c>
      <c r="E130" t="s">
        <v>310</v>
      </c>
      <c r="G130" t="s">
        <v>378</v>
      </c>
      <c r="H130" t="s">
        <v>360</v>
      </c>
      <c r="I130" t="s">
        <v>365</v>
      </c>
      <c r="J130" t="s">
        <v>311</v>
      </c>
      <c r="K130" t="s">
        <v>311</v>
      </c>
      <c r="L130">
        <v>4</v>
      </c>
      <c r="M130">
        <v>1</v>
      </c>
      <c r="N130" s="4">
        <v>6</v>
      </c>
      <c r="O130">
        <v>84</v>
      </c>
      <c r="P130" s="4">
        <v>0</v>
      </c>
      <c r="Q130">
        <f t="shared" si="2"/>
        <v>0.49888765156985881</v>
      </c>
      <c r="T130" t="s">
        <v>250</v>
      </c>
    </row>
    <row r="131" spans="1:20" x14ac:dyDescent="0.2">
      <c r="A131">
        <v>130</v>
      </c>
      <c r="D131" t="s">
        <v>309</v>
      </c>
      <c r="E131" t="s">
        <v>310</v>
      </c>
      <c r="G131" t="s">
        <v>378</v>
      </c>
      <c r="H131" t="s">
        <v>360</v>
      </c>
      <c r="I131" t="s">
        <v>365</v>
      </c>
      <c r="J131" t="s">
        <v>311</v>
      </c>
      <c r="K131" t="s">
        <v>311</v>
      </c>
      <c r="L131">
        <v>4</v>
      </c>
      <c r="M131">
        <v>1</v>
      </c>
      <c r="N131" s="4">
        <v>5</v>
      </c>
      <c r="O131">
        <v>85</v>
      </c>
      <c r="P131" s="4">
        <v>0</v>
      </c>
      <c r="Q131">
        <f t="shared" ref="Q131" si="3">SQRT(((N131+O131) / (N131+O131+P131)) - ((N131-O131) / (N131+O131+P131))^2)</f>
        <v>0.45812284729085123</v>
      </c>
      <c r="T131" t="s">
        <v>250</v>
      </c>
    </row>
  </sheetData>
  <autoFilter ref="A1:U131" xr:uid="{00000000-0001-0000-0000-000000000000}"/>
  <conditionalFormatting sqref="E1:F1048576">
    <cfRule type="duplicateValues" dxfId="11" priority="5"/>
  </conditionalFormatting>
  <conditionalFormatting sqref="J1:J1048576">
    <cfRule type="duplicateValues" dxfId="10" priority="4"/>
  </conditionalFormatting>
  <hyperlinks>
    <hyperlink ref="J107" r:id="rId1" xr:uid="{6B3E65CC-C4A4-BE45-9FCE-832E8319C4B8}"/>
    <hyperlink ref="J109" r:id="rId2" display="https://discuss.python.org/t/pep-772-packaging-governance-process/79724" xr:uid="{0795484F-2B02-6D43-9070-6F99EF8C66FA}"/>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0AE12-6DF4-5741-B6CD-BDA6426C8A4C}">
  <dimension ref="A2:A5"/>
  <sheetViews>
    <sheetView tabSelected="1" workbookViewId="0">
      <selection activeCell="A6" sqref="A6"/>
    </sheetView>
  </sheetViews>
  <sheetFormatPr baseColWidth="10" defaultRowHeight="15" x14ac:dyDescent="0.2"/>
  <cols>
    <col min="1" max="1" width="163.83203125" style="3" customWidth="1"/>
  </cols>
  <sheetData>
    <row r="2" spans="1:1" ht="80" x14ac:dyDescent="0.2">
      <c r="A2" s="3" t="s">
        <v>379</v>
      </c>
    </row>
    <row r="3" spans="1:1" ht="32" x14ac:dyDescent="0.2">
      <c r="A3" s="3" t="s">
        <v>380</v>
      </c>
    </row>
    <row r="4" spans="1:1" ht="64" x14ac:dyDescent="0.2">
      <c r="A4" s="3" t="s">
        <v>381</v>
      </c>
    </row>
    <row r="5" spans="1:1" ht="32" x14ac:dyDescent="0.2">
      <c r="A5" s="3" t="s">
        <v>382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4914D-7FD9-2F42-97C2-FF38065B4E6C}">
  <dimension ref="A1:I51"/>
  <sheetViews>
    <sheetView topLeftCell="A29" workbookViewId="0">
      <selection activeCell="D51" sqref="A11:D51"/>
    </sheetView>
  </sheetViews>
  <sheetFormatPr baseColWidth="10" defaultRowHeight="15" x14ac:dyDescent="0.2"/>
  <cols>
    <col min="1" max="1" width="9.1640625" bestFit="1" customWidth="1"/>
    <col min="4" max="5" width="24" bestFit="1" customWidth="1"/>
    <col min="6" max="6" width="15.1640625" bestFit="1" customWidth="1"/>
    <col min="7" max="7" width="17.6640625" bestFit="1" customWidth="1"/>
    <col min="9" max="9" width="11.6640625" bestFit="1" customWidth="1"/>
  </cols>
  <sheetData>
    <row r="1" spans="1:9" x14ac:dyDescent="0.2">
      <c r="A1" t="s">
        <v>333</v>
      </c>
      <c r="B1" t="s">
        <v>325</v>
      </c>
      <c r="C1" t="s">
        <v>326</v>
      </c>
      <c r="D1" t="s">
        <v>327</v>
      </c>
      <c r="E1" t="s">
        <v>328</v>
      </c>
      <c r="F1" t="s">
        <v>329</v>
      </c>
      <c r="G1" t="s">
        <v>330</v>
      </c>
      <c r="H1" t="s">
        <v>331</v>
      </c>
      <c r="I1" t="s">
        <v>324</v>
      </c>
    </row>
    <row r="2" spans="1:9" x14ac:dyDescent="0.2">
      <c r="A2" t="s">
        <v>324</v>
      </c>
      <c r="B2">
        <v>4</v>
      </c>
      <c r="C2">
        <v>14</v>
      </c>
      <c r="D2">
        <v>10</v>
      </c>
      <c r="E2">
        <v>13</v>
      </c>
      <c r="F2">
        <v>23</v>
      </c>
      <c r="G2">
        <v>18</v>
      </c>
      <c r="H2">
        <v>29</v>
      </c>
      <c r="I2" t="s">
        <v>332</v>
      </c>
    </row>
    <row r="3" spans="1:9" x14ac:dyDescent="0.2">
      <c r="A3" t="s">
        <v>330</v>
      </c>
      <c r="B3">
        <v>15</v>
      </c>
      <c r="C3">
        <v>20</v>
      </c>
      <c r="D3">
        <v>14</v>
      </c>
      <c r="E3">
        <v>22</v>
      </c>
      <c r="F3">
        <v>28</v>
      </c>
      <c r="G3" t="s">
        <v>332</v>
      </c>
      <c r="H3">
        <v>38</v>
      </c>
      <c r="I3">
        <v>43</v>
      </c>
    </row>
    <row r="4" spans="1:9" x14ac:dyDescent="0.2">
      <c r="A4" t="s">
        <v>327</v>
      </c>
      <c r="B4">
        <v>20</v>
      </c>
      <c r="C4">
        <v>28</v>
      </c>
      <c r="D4" t="s">
        <v>332</v>
      </c>
      <c r="E4">
        <v>33</v>
      </c>
      <c r="F4">
        <v>42</v>
      </c>
      <c r="G4">
        <v>42</v>
      </c>
      <c r="H4">
        <v>52</v>
      </c>
      <c r="I4">
        <v>51</v>
      </c>
    </row>
    <row r="5" spans="1:9" x14ac:dyDescent="0.2">
      <c r="A5" t="s">
        <v>326</v>
      </c>
      <c r="B5">
        <v>22</v>
      </c>
      <c r="C5" t="s">
        <v>332</v>
      </c>
      <c r="D5">
        <v>34</v>
      </c>
      <c r="E5">
        <v>33</v>
      </c>
      <c r="F5">
        <v>40</v>
      </c>
      <c r="G5">
        <v>40</v>
      </c>
      <c r="H5">
        <v>48</v>
      </c>
      <c r="I5">
        <v>48</v>
      </c>
    </row>
    <row r="6" spans="1:9" x14ac:dyDescent="0.2">
      <c r="A6" t="s">
        <v>331</v>
      </c>
      <c r="B6">
        <v>6</v>
      </c>
      <c r="C6">
        <v>9</v>
      </c>
      <c r="D6">
        <v>9</v>
      </c>
      <c r="E6">
        <v>12</v>
      </c>
      <c r="F6">
        <v>14</v>
      </c>
      <c r="G6">
        <v>17</v>
      </c>
      <c r="H6" t="s">
        <v>332</v>
      </c>
      <c r="I6">
        <v>32</v>
      </c>
    </row>
    <row r="7" spans="1:9" x14ac:dyDescent="0.2">
      <c r="A7" t="s">
        <v>329</v>
      </c>
      <c r="B7">
        <v>9</v>
      </c>
      <c r="C7">
        <v>18</v>
      </c>
      <c r="D7">
        <v>16</v>
      </c>
      <c r="E7">
        <v>18</v>
      </c>
      <c r="F7" t="s">
        <v>332</v>
      </c>
      <c r="G7">
        <v>30</v>
      </c>
      <c r="H7">
        <v>40</v>
      </c>
      <c r="I7">
        <v>38</v>
      </c>
    </row>
    <row r="8" spans="1:9" x14ac:dyDescent="0.2">
      <c r="A8" t="s">
        <v>328</v>
      </c>
      <c r="B8">
        <v>18</v>
      </c>
      <c r="C8">
        <v>22</v>
      </c>
      <c r="D8">
        <v>24</v>
      </c>
      <c r="E8" t="s">
        <v>332</v>
      </c>
      <c r="F8">
        <v>38</v>
      </c>
      <c r="G8">
        <v>36</v>
      </c>
      <c r="H8">
        <v>47</v>
      </c>
      <c r="I8">
        <v>48</v>
      </c>
    </row>
    <row r="9" spans="1:9" x14ac:dyDescent="0.2">
      <c r="A9" t="s">
        <v>325</v>
      </c>
      <c r="B9" t="s">
        <v>332</v>
      </c>
      <c r="C9">
        <v>40</v>
      </c>
      <c r="D9">
        <v>37</v>
      </c>
      <c r="E9">
        <v>41</v>
      </c>
      <c r="F9">
        <v>50</v>
      </c>
      <c r="G9">
        <v>44</v>
      </c>
      <c r="H9">
        <v>55</v>
      </c>
      <c r="I9">
        <v>57</v>
      </c>
    </row>
    <row r="11" spans="1:9" x14ac:dyDescent="0.2">
      <c r="A11" s="4" t="s">
        <v>3</v>
      </c>
      <c r="B11" s="4" t="s">
        <v>7</v>
      </c>
      <c r="C11" s="4" t="s">
        <v>8</v>
      </c>
      <c r="D11" s="4" t="s">
        <v>334</v>
      </c>
      <c r="E11" s="4" t="s">
        <v>338</v>
      </c>
      <c r="F11" s="4" t="s">
        <v>335</v>
      </c>
      <c r="G11" s="4" t="s">
        <v>336</v>
      </c>
    </row>
    <row r="12" spans="1:9" x14ac:dyDescent="0.2">
      <c r="A12" s="4" t="s">
        <v>330</v>
      </c>
      <c r="B12" s="4">
        <v>43</v>
      </c>
      <c r="C12" s="4">
        <v>18</v>
      </c>
      <c r="D12" s="4">
        <v>33</v>
      </c>
      <c r="E12" s="4">
        <v>61</v>
      </c>
      <c r="F12" s="5">
        <v>0.70499999999999996</v>
      </c>
      <c r="G12" s="4" t="s">
        <v>337</v>
      </c>
    </row>
    <row r="13" spans="1:9" x14ac:dyDescent="0.2">
      <c r="A13" s="4" t="s">
        <v>327</v>
      </c>
      <c r="B13" s="4">
        <v>51</v>
      </c>
      <c r="C13" s="4">
        <v>10</v>
      </c>
      <c r="D13" s="4">
        <v>33</v>
      </c>
      <c r="E13" s="4">
        <v>61</v>
      </c>
      <c r="F13" s="5">
        <v>0.83599999999999997</v>
      </c>
      <c r="G13" s="4" t="s">
        <v>337</v>
      </c>
    </row>
    <row r="14" spans="1:9" x14ac:dyDescent="0.2">
      <c r="A14" s="4" t="s">
        <v>326</v>
      </c>
      <c r="B14" s="4">
        <v>48</v>
      </c>
      <c r="C14" s="4">
        <v>14</v>
      </c>
      <c r="D14" s="4">
        <v>32</v>
      </c>
      <c r="E14" s="4">
        <v>62</v>
      </c>
      <c r="F14" s="5">
        <v>0.77400000000000002</v>
      </c>
      <c r="G14" s="4" t="s">
        <v>337</v>
      </c>
    </row>
    <row r="15" spans="1:9" x14ac:dyDescent="0.2">
      <c r="A15" s="4" t="s">
        <v>331</v>
      </c>
      <c r="B15" s="4">
        <v>32</v>
      </c>
      <c r="C15" s="4">
        <v>29</v>
      </c>
      <c r="D15" s="4">
        <v>33</v>
      </c>
      <c r="E15" s="4">
        <v>61</v>
      </c>
      <c r="F15" s="5">
        <v>0.52500000000000002</v>
      </c>
      <c r="G15" s="4" t="s">
        <v>337</v>
      </c>
    </row>
    <row r="16" spans="1:9" x14ac:dyDescent="0.2">
      <c r="A16" s="4" t="s">
        <v>329</v>
      </c>
      <c r="B16" s="4">
        <v>38</v>
      </c>
      <c r="C16" s="4">
        <v>23</v>
      </c>
      <c r="D16" s="4">
        <v>33</v>
      </c>
      <c r="E16" s="4">
        <v>61</v>
      </c>
      <c r="F16" s="5">
        <v>0.623</v>
      </c>
      <c r="G16" s="4" t="s">
        <v>337</v>
      </c>
    </row>
    <row r="17" spans="1:7" x14ac:dyDescent="0.2">
      <c r="A17" s="4" t="s">
        <v>328</v>
      </c>
      <c r="B17" s="4">
        <v>48</v>
      </c>
      <c r="C17" s="4">
        <v>13</v>
      </c>
      <c r="D17" s="4">
        <v>33</v>
      </c>
      <c r="E17" s="4">
        <v>61</v>
      </c>
      <c r="F17" s="5">
        <v>0.78700000000000003</v>
      </c>
      <c r="G17" s="4" t="s">
        <v>337</v>
      </c>
    </row>
    <row r="18" spans="1:7" x14ac:dyDescent="0.2">
      <c r="A18" s="4" t="s">
        <v>325</v>
      </c>
      <c r="B18" s="4">
        <v>57</v>
      </c>
      <c r="C18" s="4">
        <v>4</v>
      </c>
      <c r="D18" s="4">
        <v>33</v>
      </c>
      <c r="E18" s="4">
        <v>61</v>
      </c>
      <c r="F18" s="5">
        <v>0.93400000000000005</v>
      </c>
      <c r="G18" s="4" t="s">
        <v>337</v>
      </c>
    </row>
    <row r="20" spans="1:7" x14ac:dyDescent="0.2">
      <c r="A20" s="4" t="s">
        <v>3</v>
      </c>
      <c r="B20" s="4" t="s">
        <v>7</v>
      </c>
      <c r="C20" s="4" t="s">
        <v>8</v>
      </c>
      <c r="D20" s="4" t="s">
        <v>334</v>
      </c>
      <c r="E20" s="4" t="s">
        <v>338</v>
      </c>
      <c r="F20" s="4" t="s">
        <v>335</v>
      </c>
      <c r="G20" s="4" t="s">
        <v>336</v>
      </c>
    </row>
    <row r="21" spans="1:7" x14ac:dyDescent="0.2">
      <c r="A21" s="4" t="s">
        <v>330</v>
      </c>
      <c r="B21" s="4">
        <v>38</v>
      </c>
      <c r="C21" s="4">
        <v>17</v>
      </c>
      <c r="D21" s="4">
        <v>39</v>
      </c>
      <c r="E21" s="4">
        <v>55</v>
      </c>
      <c r="F21" s="5">
        <v>0.69099999999999995</v>
      </c>
      <c r="G21" s="4" t="s">
        <v>337</v>
      </c>
    </row>
    <row r="22" spans="1:7" x14ac:dyDescent="0.2">
      <c r="A22" s="4" t="s">
        <v>327</v>
      </c>
      <c r="B22" s="4">
        <v>52</v>
      </c>
      <c r="C22" s="4">
        <v>9</v>
      </c>
      <c r="D22" s="4">
        <v>33</v>
      </c>
      <c r="E22" s="4">
        <v>61</v>
      </c>
      <c r="F22" s="5">
        <v>0.85199999999999998</v>
      </c>
      <c r="G22" s="4" t="s">
        <v>337</v>
      </c>
    </row>
    <row r="23" spans="1:7" x14ac:dyDescent="0.2">
      <c r="A23" s="4" t="s">
        <v>326</v>
      </c>
      <c r="B23" s="4">
        <v>48</v>
      </c>
      <c r="C23" s="4">
        <v>9</v>
      </c>
      <c r="D23" s="4">
        <v>37</v>
      </c>
      <c r="E23" s="4">
        <v>57</v>
      </c>
      <c r="F23" s="5">
        <v>0.84199999999999997</v>
      </c>
      <c r="G23" s="4" t="s">
        <v>337</v>
      </c>
    </row>
    <row r="24" spans="1:7" x14ac:dyDescent="0.2">
      <c r="A24" s="4" t="s">
        <v>329</v>
      </c>
      <c r="B24" s="4">
        <v>40</v>
      </c>
      <c r="C24" s="4">
        <v>14</v>
      </c>
      <c r="D24" s="4">
        <v>40</v>
      </c>
      <c r="E24" s="4">
        <v>54</v>
      </c>
      <c r="F24" s="5">
        <v>0.74099999999999999</v>
      </c>
      <c r="G24" s="4" t="s">
        <v>337</v>
      </c>
    </row>
    <row r="25" spans="1:7" x14ac:dyDescent="0.2">
      <c r="A25" s="4" t="s">
        <v>328</v>
      </c>
      <c r="B25" s="4">
        <v>47</v>
      </c>
      <c r="C25" s="4">
        <v>12</v>
      </c>
      <c r="D25" s="4">
        <v>35</v>
      </c>
      <c r="E25" s="4">
        <v>59</v>
      </c>
      <c r="F25" s="5">
        <v>0.79700000000000004</v>
      </c>
      <c r="G25" s="4" t="s">
        <v>337</v>
      </c>
    </row>
    <row r="26" spans="1:7" x14ac:dyDescent="0.2">
      <c r="A26" s="4" t="s">
        <v>325</v>
      </c>
      <c r="B26" s="4">
        <v>55</v>
      </c>
      <c r="C26" s="4">
        <v>6</v>
      </c>
      <c r="D26" s="4">
        <v>33</v>
      </c>
      <c r="E26" s="4">
        <v>61</v>
      </c>
      <c r="F26" s="5">
        <v>0.90200000000000002</v>
      </c>
      <c r="G26" s="4" t="s">
        <v>337</v>
      </c>
    </row>
    <row r="28" spans="1:7" x14ac:dyDescent="0.2">
      <c r="A28" s="4" t="s">
        <v>3</v>
      </c>
      <c r="B28" s="4" t="s">
        <v>7</v>
      </c>
      <c r="C28" s="4" t="s">
        <v>8</v>
      </c>
      <c r="D28" s="4" t="s">
        <v>334</v>
      </c>
      <c r="E28" s="4" t="s">
        <v>338</v>
      </c>
      <c r="F28" s="4" t="s">
        <v>335</v>
      </c>
      <c r="G28" s="4" t="s">
        <v>336</v>
      </c>
    </row>
    <row r="29" spans="1:7" x14ac:dyDescent="0.2">
      <c r="A29" s="4" t="s">
        <v>327</v>
      </c>
      <c r="B29" s="4">
        <v>42</v>
      </c>
      <c r="C29" s="4">
        <v>14</v>
      </c>
      <c r="D29" s="4">
        <v>38</v>
      </c>
      <c r="E29" s="4">
        <v>56</v>
      </c>
      <c r="F29" s="5">
        <v>0.75</v>
      </c>
      <c r="G29" s="4" t="s">
        <v>337</v>
      </c>
    </row>
    <row r="30" spans="1:7" x14ac:dyDescent="0.2">
      <c r="A30" s="4" t="s">
        <v>326</v>
      </c>
      <c r="B30" s="4">
        <v>40</v>
      </c>
      <c r="C30" s="4">
        <v>20</v>
      </c>
      <c r="D30" s="4">
        <v>34</v>
      </c>
      <c r="E30" s="4">
        <v>60</v>
      </c>
      <c r="F30" s="5">
        <v>0.66700000000000004</v>
      </c>
      <c r="G30" s="4" t="s">
        <v>337</v>
      </c>
    </row>
    <row r="31" spans="1:7" x14ac:dyDescent="0.2">
      <c r="A31" s="4" t="s">
        <v>329</v>
      </c>
      <c r="B31" s="4">
        <v>30</v>
      </c>
      <c r="C31" s="4">
        <v>28</v>
      </c>
      <c r="D31" s="4">
        <v>36</v>
      </c>
      <c r="E31" s="4">
        <v>58</v>
      </c>
      <c r="F31" s="5">
        <v>0.51700000000000002</v>
      </c>
      <c r="G31" s="4" t="s">
        <v>337</v>
      </c>
    </row>
    <row r="32" spans="1:7" x14ac:dyDescent="0.2">
      <c r="A32" s="4" t="s">
        <v>328</v>
      </c>
      <c r="B32" s="4">
        <v>36</v>
      </c>
      <c r="C32" s="4">
        <v>22</v>
      </c>
      <c r="D32" s="4">
        <v>36</v>
      </c>
      <c r="E32" s="4">
        <v>58</v>
      </c>
      <c r="F32" s="5">
        <v>0.621</v>
      </c>
      <c r="G32" s="4" t="s">
        <v>337</v>
      </c>
    </row>
    <row r="33" spans="1:7" x14ac:dyDescent="0.2">
      <c r="A33" s="4" t="s">
        <v>325</v>
      </c>
      <c r="B33" s="4">
        <v>44</v>
      </c>
      <c r="C33" s="4">
        <v>15</v>
      </c>
      <c r="D33" s="4">
        <v>35</v>
      </c>
      <c r="E33" s="4">
        <v>59</v>
      </c>
      <c r="F33" s="5">
        <v>0.746</v>
      </c>
      <c r="G33" s="4" t="s">
        <v>337</v>
      </c>
    </row>
    <row r="35" spans="1:7" x14ac:dyDescent="0.2">
      <c r="A35" s="4" t="s">
        <v>3</v>
      </c>
      <c r="B35" s="4" t="s">
        <v>7</v>
      </c>
      <c r="C35" s="4" t="s">
        <v>8</v>
      </c>
      <c r="D35" s="4" t="s">
        <v>334</v>
      </c>
      <c r="E35" s="4" t="s">
        <v>338</v>
      </c>
      <c r="F35" s="4" t="s">
        <v>335</v>
      </c>
      <c r="G35" s="4" t="s">
        <v>336</v>
      </c>
    </row>
    <row r="36" spans="1:7" x14ac:dyDescent="0.2">
      <c r="A36" s="4" t="s">
        <v>327</v>
      </c>
      <c r="B36" s="4">
        <v>42</v>
      </c>
      <c r="C36" s="4">
        <v>16</v>
      </c>
      <c r="D36" s="4">
        <v>36</v>
      </c>
      <c r="E36" s="4">
        <v>58</v>
      </c>
      <c r="F36" s="5">
        <v>0.72399999999999998</v>
      </c>
      <c r="G36" s="4" t="s">
        <v>337</v>
      </c>
    </row>
    <row r="37" spans="1:7" x14ac:dyDescent="0.2">
      <c r="A37" s="4" t="s">
        <v>326</v>
      </c>
      <c r="B37" s="4">
        <v>40</v>
      </c>
      <c r="C37" s="4">
        <v>18</v>
      </c>
      <c r="D37" s="4">
        <v>36</v>
      </c>
      <c r="E37" s="4">
        <v>58</v>
      </c>
      <c r="F37" s="5">
        <v>0.69</v>
      </c>
      <c r="G37" s="4" t="s">
        <v>337</v>
      </c>
    </row>
    <row r="38" spans="1:7" x14ac:dyDescent="0.2">
      <c r="A38" s="4" t="s">
        <v>328</v>
      </c>
      <c r="B38" s="4">
        <v>38</v>
      </c>
      <c r="C38" s="4">
        <v>18</v>
      </c>
      <c r="D38" s="4">
        <v>38</v>
      </c>
      <c r="E38" s="4">
        <v>56</v>
      </c>
      <c r="F38" s="5">
        <v>0.67900000000000005</v>
      </c>
      <c r="G38" s="4" t="s">
        <v>337</v>
      </c>
    </row>
    <row r="39" spans="1:7" x14ac:dyDescent="0.2">
      <c r="A39" s="4" t="s">
        <v>325</v>
      </c>
      <c r="B39" s="4">
        <v>50</v>
      </c>
      <c r="C39" s="4">
        <v>9</v>
      </c>
      <c r="D39" s="4">
        <v>35</v>
      </c>
      <c r="E39" s="4">
        <v>59</v>
      </c>
      <c r="F39" s="5">
        <v>0.84699999999999998</v>
      </c>
      <c r="G39" s="4" t="s">
        <v>337</v>
      </c>
    </row>
    <row r="41" spans="1:7" x14ac:dyDescent="0.2">
      <c r="A41" s="4" t="s">
        <v>3</v>
      </c>
      <c r="B41" s="4" t="s">
        <v>7</v>
      </c>
      <c r="C41" s="4" t="s">
        <v>8</v>
      </c>
      <c r="D41" s="4" t="s">
        <v>334</v>
      </c>
      <c r="E41" s="4" t="s">
        <v>338</v>
      </c>
      <c r="F41" s="4" t="s">
        <v>335</v>
      </c>
      <c r="G41" s="4" t="s">
        <v>336</v>
      </c>
    </row>
    <row r="42" spans="1:7" x14ac:dyDescent="0.2">
      <c r="A42" s="4" t="s">
        <v>327</v>
      </c>
      <c r="B42" s="4">
        <v>33</v>
      </c>
      <c r="C42" s="4">
        <v>24</v>
      </c>
      <c r="D42" s="4">
        <v>37</v>
      </c>
      <c r="E42" s="4">
        <v>57</v>
      </c>
      <c r="F42" s="5">
        <v>0.57899999999999996</v>
      </c>
      <c r="G42" s="4" t="s">
        <v>337</v>
      </c>
    </row>
    <row r="43" spans="1:7" x14ac:dyDescent="0.2">
      <c r="A43" s="4" t="s">
        <v>326</v>
      </c>
      <c r="B43" s="4">
        <v>33</v>
      </c>
      <c r="C43" s="4">
        <v>22</v>
      </c>
      <c r="D43" s="4">
        <v>39</v>
      </c>
      <c r="E43" s="4">
        <v>55</v>
      </c>
      <c r="F43" s="5">
        <v>0.6</v>
      </c>
      <c r="G43" s="4" t="s">
        <v>337</v>
      </c>
    </row>
    <row r="44" spans="1:7" x14ac:dyDescent="0.2">
      <c r="A44" s="4" t="s">
        <v>325</v>
      </c>
      <c r="B44" s="4">
        <v>41</v>
      </c>
      <c r="C44" s="4">
        <v>18</v>
      </c>
      <c r="D44" s="4">
        <v>35</v>
      </c>
      <c r="E44" s="4">
        <v>59</v>
      </c>
      <c r="F44" s="5">
        <v>0.69499999999999995</v>
      </c>
      <c r="G44" s="4" t="s">
        <v>337</v>
      </c>
    </row>
    <row r="46" spans="1:7" x14ac:dyDescent="0.2">
      <c r="A46" s="4" t="s">
        <v>3</v>
      </c>
      <c r="B46" s="4" t="s">
        <v>7</v>
      </c>
      <c r="C46" s="4" t="s">
        <v>8</v>
      </c>
      <c r="D46" s="4" t="s">
        <v>334</v>
      </c>
      <c r="E46" s="4" t="s">
        <v>338</v>
      </c>
      <c r="F46" s="4" t="s">
        <v>335</v>
      </c>
      <c r="G46" s="4" t="s">
        <v>336</v>
      </c>
    </row>
    <row r="47" spans="1:7" x14ac:dyDescent="0.2">
      <c r="A47" s="4" t="s">
        <v>326</v>
      </c>
      <c r="B47" s="4">
        <v>34</v>
      </c>
      <c r="C47" s="4">
        <v>28</v>
      </c>
      <c r="D47" s="4">
        <v>32</v>
      </c>
      <c r="E47" s="4">
        <v>62</v>
      </c>
      <c r="F47" s="5">
        <v>0.54800000000000004</v>
      </c>
      <c r="G47" s="4" t="s">
        <v>337</v>
      </c>
    </row>
    <row r="48" spans="1:7" x14ac:dyDescent="0.2">
      <c r="A48" s="4" t="s">
        <v>325</v>
      </c>
      <c r="B48" s="4">
        <v>37</v>
      </c>
      <c r="C48" s="4">
        <v>20</v>
      </c>
      <c r="D48" s="4">
        <v>37</v>
      </c>
      <c r="E48" s="4">
        <v>57</v>
      </c>
      <c r="F48" s="5">
        <v>0.64900000000000002</v>
      </c>
      <c r="G48" s="4" t="s">
        <v>337</v>
      </c>
    </row>
    <row r="50" spans="1:7" x14ac:dyDescent="0.2">
      <c r="A50" s="4" t="s">
        <v>3</v>
      </c>
      <c r="B50" s="4" t="s">
        <v>7</v>
      </c>
      <c r="C50" s="4" t="s">
        <v>8</v>
      </c>
      <c r="D50" s="4" t="s">
        <v>334</v>
      </c>
      <c r="E50" s="4" t="s">
        <v>338</v>
      </c>
      <c r="F50" s="4" t="s">
        <v>335</v>
      </c>
      <c r="G50" s="4" t="s">
        <v>336</v>
      </c>
    </row>
    <row r="51" spans="1:7" x14ac:dyDescent="0.2">
      <c r="A51" s="4" t="s">
        <v>325</v>
      </c>
      <c r="B51" s="4">
        <v>40</v>
      </c>
      <c r="C51" s="4">
        <v>22</v>
      </c>
      <c r="D51" s="4">
        <v>32</v>
      </c>
      <c r="E51" s="4">
        <v>62</v>
      </c>
      <c r="F51" s="5">
        <v>0.64500000000000002</v>
      </c>
      <c r="G51" s="4" t="s">
        <v>339</v>
      </c>
    </row>
  </sheetData>
  <autoFilter ref="A1:I9" xr:uid="{F014914D-7FD9-2F42-97C2-FF38065B4E6C}">
    <sortState xmlns:xlrd2="http://schemas.microsoft.com/office/spreadsheetml/2017/richdata2" ref="A2:I9">
      <sortCondition ref="A1:A9"/>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200D7-68C1-D442-80E7-F06108419B71}">
  <dimension ref="A1:E28"/>
  <sheetViews>
    <sheetView workbookViewId="0">
      <selection activeCell="C1" sqref="C1:C7"/>
    </sheetView>
  </sheetViews>
  <sheetFormatPr baseColWidth="10" defaultRowHeight="15" x14ac:dyDescent="0.2"/>
  <cols>
    <col min="5" max="5" width="24" bestFit="1" customWidth="1"/>
  </cols>
  <sheetData>
    <row r="1" spans="1:5" x14ac:dyDescent="0.2">
      <c r="A1" t="s">
        <v>340</v>
      </c>
      <c r="B1" s="4" t="s">
        <v>330</v>
      </c>
      <c r="C1" s="4">
        <v>43</v>
      </c>
      <c r="D1" s="4">
        <v>18</v>
      </c>
      <c r="E1" s="4">
        <v>33</v>
      </c>
    </row>
    <row r="2" spans="1:5" x14ac:dyDescent="0.2">
      <c r="A2" t="s">
        <v>340</v>
      </c>
      <c r="B2" s="4" t="s">
        <v>327</v>
      </c>
      <c r="C2" s="4">
        <v>51</v>
      </c>
      <c r="D2" s="4">
        <v>10</v>
      </c>
      <c r="E2" s="4">
        <v>33</v>
      </c>
    </row>
    <row r="3" spans="1:5" x14ac:dyDescent="0.2">
      <c r="A3" t="s">
        <v>340</v>
      </c>
      <c r="B3" s="4" t="s">
        <v>326</v>
      </c>
      <c r="C3" s="4">
        <v>48</v>
      </c>
      <c r="D3" s="4">
        <v>14</v>
      </c>
      <c r="E3" s="4">
        <v>32</v>
      </c>
    </row>
    <row r="4" spans="1:5" x14ac:dyDescent="0.2">
      <c r="A4" t="s">
        <v>340</v>
      </c>
      <c r="B4" s="4" t="s">
        <v>331</v>
      </c>
      <c r="C4" s="4">
        <v>32</v>
      </c>
      <c r="D4" s="4">
        <v>29</v>
      </c>
      <c r="E4" s="4">
        <v>33</v>
      </c>
    </row>
    <row r="5" spans="1:5" x14ac:dyDescent="0.2">
      <c r="A5" t="s">
        <v>340</v>
      </c>
      <c r="B5" s="4" t="s">
        <v>329</v>
      </c>
      <c r="C5" s="4">
        <v>38</v>
      </c>
      <c r="D5" s="4">
        <v>23</v>
      </c>
      <c r="E5" s="4">
        <v>33</v>
      </c>
    </row>
    <row r="6" spans="1:5" x14ac:dyDescent="0.2">
      <c r="A6" t="s">
        <v>340</v>
      </c>
      <c r="B6" s="4" t="s">
        <v>328</v>
      </c>
      <c r="C6" s="4">
        <v>48</v>
      </c>
      <c r="D6" s="4">
        <v>13</v>
      </c>
      <c r="E6" s="4">
        <v>33</v>
      </c>
    </row>
    <row r="7" spans="1:5" x14ac:dyDescent="0.2">
      <c r="A7" t="s">
        <v>340</v>
      </c>
      <c r="B7" s="4" t="s">
        <v>325</v>
      </c>
      <c r="C7" s="4">
        <v>57</v>
      </c>
      <c r="D7" s="4">
        <v>4</v>
      </c>
      <c r="E7" s="4">
        <v>33</v>
      </c>
    </row>
    <row r="8" spans="1:5" x14ac:dyDescent="0.2">
      <c r="A8" t="s">
        <v>341</v>
      </c>
      <c r="B8" s="4" t="s">
        <v>330</v>
      </c>
      <c r="C8" s="4">
        <v>38</v>
      </c>
      <c r="D8" s="4">
        <v>17</v>
      </c>
      <c r="E8" s="4">
        <v>39</v>
      </c>
    </row>
    <row r="9" spans="1:5" x14ac:dyDescent="0.2">
      <c r="A9" t="s">
        <v>341</v>
      </c>
      <c r="B9" s="4" t="s">
        <v>327</v>
      </c>
      <c r="C9" s="4">
        <v>52</v>
      </c>
      <c r="D9" s="4">
        <v>9</v>
      </c>
      <c r="E9" s="4">
        <v>33</v>
      </c>
    </row>
    <row r="10" spans="1:5" x14ac:dyDescent="0.2">
      <c r="A10" t="s">
        <v>341</v>
      </c>
      <c r="B10" s="4" t="s">
        <v>326</v>
      </c>
      <c r="C10" s="4">
        <v>48</v>
      </c>
      <c r="D10" s="4">
        <v>9</v>
      </c>
      <c r="E10" s="4">
        <v>37</v>
      </c>
    </row>
    <row r="11" spans="1:5" x14ac:dyDescent="0.2">
      <c r="A11" t="s">
        <v>341</v>
      </c>
      <c r="B11" s="4" t="s">
        <v>329</v>
      </c>
      <c r="C11" s="4">
        <v>40</v>
      </c>
      <c r="D11" s="4">
        <v>14</v>
      </c>
      <c r="E11" s="4">
        <v>40</v>
      </c>
    </row>
    <row r="12" spans="1:5" x14ac:dyDescent="0.2">
      <c r="A12" t="s">
        <v>341</v>
      </c>
      <c r="B12" s="4" t="s">
        <v>328</v>
      </c>
      <c r="C12" s="4">
        <v>47</v>
      </c>
      <c r="D12" s="4">
        <v>12</v>
      </c>
      <c r="E12" s="4">
        <v>35</v>
      </c>
    </row>
    <row r="13" spans="1:5" x14ac:dyDescent="0.2">
      <c r="A13" t="s">
        <v>341</v>
      </c>
      <c r="B13" s="4" t="s">
        <v>325</v>
      </c>
      <c r="C13" s="4">
        <v>55</v>
      </c>
      <c r="D13" s="4">
        <v>6</v>
      </c>
      <c r="E13" s="4">
        <v>33</v>
      </c>
    </row>
    <row r="14" spans="1:5" x14ac:dyDescent="0.2">
      <c r="A14" t="s">
        <v>342</v>
      </c>
      <c r="B14" s="4" t="s">
        <v>327</v>
      </c>
      <c r="C14" s="4">
        <v>42</v>
      </c>
      <c r="D14" s="4">
        <v>14</v>
      </c>
      <c r="E14" s="4">
        <v>38</v>
      </c>
    </row>
    <row r="15" spans="1:5" x14ac:dyDescent="0.2">
      <c r="A15" t="s">
        <v>342</v>
      </c>
      <c r="B15" s="4" t="s">
        <v>326</v>
      </c>
      <c r="C15" s="4">
        <v>40</v>
      </c>
      <c r="D15" s="4">
        <v>20</v>
      </c>
      <c r="E15" s="4">
        <v>34</v>
      </c>
    </row>
    <row r="16" spans="1:5" x14ac:dyDescent="0.2">
      <c r="A16" t="s">
        <v>342</v>
      </c>
      <c r="B16" s="4" t="s">
        <v>329</v>
      </c>
      <c r="C16" s="4">
        <v>30</v>
      </c>
      <c r="D16" s="4">
        <v>28</v>
      </c>
      <c r="E16" s="4">
        <v>36</v>
      </c>
    </row>
    <row r="17" spans="1:5" x14ac:dyDescent="0.2">
      <c r="A17" t="s">
        <v>342</v>
      </c>
      <c r="B17" s="4" t="s">
        <v>328</v>
      </c>
      <c r="C17" s="4">
        <v>36</v>
      </c>
      <c r="D17" s="4">
        <v>22</v>
      </c>
      <c r="E17" s="4">
        <v>36</v>
      </c>
    </row>
    <row r="18" spans="1:5" x14ac:dyDescent="0.2">
      <c r="A18" t="s">
        <v>342</v>
      </c>
      <c r="B18" s="4" t="s">
        <v>325</v>
      </c>
      <c r="C18" s="4">
        <v>44</v>
      </c>
      <c r="D18" s="4">
        <v>15</v>
      </c>
      <c r="E18" s="4">
        <v>35</v>
      </c>
    </row>
    <row r="19" spans="1:5" x14ac:dyDescent="0.2">
      <c r="A19" t="s">
        <v>343</v>
      </c>
      <c r="B19" s="4" t="s">
        <v>327</v>
      </c>
      <c r="C19" s="4">
        <v>42</v>
      </c>
      <c r="D19" s="4">
        <v>16</v>
      </c>
      <c r="E19" s="4">
        <v>36</v>
      </c>
    </row>
    <row r="20" spans="1:5" x14ac:dyDescent="0.2">
      <c r="A20" t="s">
        <v>343</v>
      </c>
      <c r="B20" s="4" t="s">
        <v>326</v>
      </c>
      <c r="C20" s="4">
        <v>40</v>
      </c>
      <c r="D20" s="4">
        <v>18</v>
      </c>
      <c r="E20" s="4">
        <v>36</v>
      </c>
    </row>
    <row r="21" spans="1:5" x14ac:dyDescent="0.2">
      <c r="A21" t="s">
        <v>343</v>
      </c>
      <c r="B21" s="4" t="s">
        <v>328</v>
      </c>
      <c r="C21" s="4">
        <v>38</v>
      </c>
      <c r="D21" s="4">
        <v>18</v>
      </c>
      <c r="E21" s="4">
        <v>38</v>
      </c>
    </row>
    <row r="22" spans="1:5" x14ac:dyDescent="0.2">
      <c r="A22" t="s">
        <v>343</v>
      </c>
      <c r="B22" s="4" t="s">
        <v>325</v>
      </c>
      <c r="C22" s="4">
        <v>50</v>
      </c>
      <c r="D22" s="4">
        <v>9</v>
      </c>
      <c r="E22" s="4">
        <v>35</v>
      </c>
    </row>
    <row r="23" spans="1:5" x14ac:dyDescent="0.2">
      <c r="A23" t="s">
        <v>344</v>
      </c>
      <c r="B23" s="4" t="s">
        <v>327</v>
      </c>
      <c r="C23" s="4">
        <v>33</v>
      </c>
      <c r="D23" s="4">
        <v>24</v>
      </c>
      <c r="E23" s="4">
        <v>37</v>
      </c>
    </row>
    <row r="24" spans="1:5" x14ac:dyDescent="0.2">
      <c r="A24" t="s">
        <v>344</v>
      </c>
      <c r="B24" s="4" t="s">
        <v>326</v>
      </c>
      <c r="C24" s="4">
        <v>33</v>
      </c>
      <c r="D24" s="4">
        <v>22</v>
      </c>
      <c r="E24" s="4">
        <v>39</v>
      </c>
    </row>
    <row r="25" spans="1:5" x14ac:dyDescent="0.2">
      <c r="A25" t="s">
        <v>344</v>
      </c>
      <c r="B25" s="4" t="s">
        <v>325</v>
      </c>
      <c r="C25" s="4">
        <v>41</v>
      </c>
      <c r="D25" s="4">
        <v>18</v>
      </c>
      <c r="E25" s="4">
        <v>35</v>
      </c>
    </row>
    <row r="26" spans="1:5" x14ac:dyDescent="0.2">
      <c r="A26" t="s">
        <v>345</v>
      </c>
      <c r="B26" s="4" t="s">
        <v>326</v>
      </c>
      <c r="C26" s="4">
        <v>34</v>
      </c>
      <c r="D26" s="4">
        <v>28</v>
      </c>
      <c r="E26" s="4">
        <v>32</v>
      </c>
    </row>
    <row r="27" spans="1:5" x14ac:dyDescent="0.2">
      <c r="A27" t="s">
        <v>345</v>
      </c>
      <c r="B27" s="4" t="s">
        <v>325</v>
      </c>
      <c r="C27" s="4">
        <v>37</v>
      </c>
      <c r="D27" s="4">
        <v>20</v>
      </c>
      <c r="E27" s="4">
        <v>37</v>
      </c>
    </row>
    <row r="28" spans="1:5" x14ac:dyDescent="0.2">
      <c r="A28" t="s">
        <v>346</v>
      </c>
      <c r="B28" s="4" t="s">
        <v>325</v>
      </c>
      <c r="C28" s="4">
        <v>40</v>
      </c>
      <c r="D28" s="4">
        <v>22</v>
      </c>
      <c r="E28" s="4">
        <v>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30794-A68D-5A46-9DB2-4C40DDB83B1D}">
  <dimension ref="A1:H63"/>
  <sheetViews>
    <sheetView workbookViewId="0">
      <selection activeCell="I2" sqref="I2"/>
    </sheetView>
  </sheetViews>
  <sheetFormatPr baseColWidth="10" defaultRowHeight="15" x14ac:dyDescent="0.2"/>
  <sheetData>
    <row r="1" spans="1:8" x14ac:dyDescent="0.2">
      <c r="A1">
        <v>0</v>
      </c>
      <c r="B1">
        <v>1</v>
      </c>
      <c r="C1">
        <v>2</v>
      </c>
      <c r="D1">
        <v>3</v>
      </c>
      <c r="E1">
        <v>4</v>
      </c>
      <c r="F1">
        <v>5</v>
      </c>
      <c r="G1">
        <v>6</v>
      </c>
      <c r="H1">
        <v>7</v>
      </c>
    </row>
    <row r="2" spans="1:8" x14ac:dyDescent="0.2">
      <c r="A2">
        <v>8</v>
      </c>
      <c r="B2">
        <v>5</v>
      </c>
      <c r="C2">
        <v>1</v>
      </c>
      <c r="D2">
        <v>7</v>
      </c>
      <c r="E2">
        <v>4</v>
      </c>
      <c r="F2">
        <v>3</v>
      </c>
      <c r="G2">
        <v>2</v>
      </c>
      <c r="H2">
        <v>6</v>
      </c>
    </row>
    <row r="3" spans="1:8" x14ac:dyDescent="0.2">
      <c r="A3">
        <v>8</v>
      </c>
      <c r="B3">
        <v>3</v>
      </c>
      <c r="C3">
        <v>2</v>
      </c>
      <c r="D3">
        <v>4</v>
      </c>
      <c r="E3">
        <v>6</v>
      </c>
      <c r="F3">
        <v>5</v>
      </c>
      <c r="G3">
        <v>1</v>
      </c>
      <c r="H3">
        <v>7</v>
      </c>
    </row>
    <row r="4" spans="1:8" x14ac:dyDescent="0.2">
      <c r="A4">
        <v>6</v>
      </c>
      <c r="B4">
        <v>1</v>
      </c>
      <c r="C4">
        <v>4</v>
      </c>
      <c r="D4">
        <v>7</v>
      </c>
      <c r="E4">
        <v>5</v>
      </c>
      <c r="F4">
        <v>3</v>
      </c>
      <c r="G4">
        <v>3</v>
      </c>
      <c r="H4">
        <v>8</v>
      </c>
    </row>
    <row r="5" spans="1:8" x14ac:dyDescent="0.2">
      <c r="A5">
        <v>3</v>
      </c>
      <c r="B5">
        <v>2</v>
      </c>
      <c r="C5">
        <v>7</v>
      </c>
      <c r="D5">
        <v>5</v>
      </c>
      <c r="E5">
        <v>4</v>
      </c>
      <c r="F5">
        <v>6</v>
      </c>
      <c r="G5">
        <v>1</v>
      </c>
      <c r="H5">
        <v>8</v>
      </c>
    </row>
    <row r="6" spans="1:8" x14ac:dyDescent="0.2">
      <c r="A6">
        <v>2</v>
      </c>
      <c r="B6">
        <v>1</v>
      </c>
      <c r="C6">
        <v>4</v>
      </c>
      <c r="D6">
        <v>6</v>
      </c>
      <c r="E6">
        <v>8</v>
      </c>
      <c r="F6">
        <v>5</v>
      </c>
      <c r="G6">
        <v>3</v>
      </c>
      <c r="H6">
        <v>7</v>
      </c>
    </row>
    <row r="7" spans="1:8" x14ac:dyDescent="0.2">
      <c r="A7">
        <v>7</v>
      </c>
      <c r="B7">
        <v>2</v>
      </c>
      <c r="C7">
        <v>3</v>
      </c>
      <c r="D7">
        <v>6</v>
      </c>
      <c r="E7">
        <v>4</v>
      </c>
      <c r="F7">
        <v>7</v>
      </c>
      <c r="G7">
        <v>1</v>
      </c>
      <c r="H7">
        <v>5</v>
      </c>
    </row>
    <row r="8" spans="1:8" x14ac:dyDescent="0.2">
      <c r="A8">
        <v>8</v>
      </c>
      <c r="B8">
        <v>8</v>
      </c>
      <c r="C8">
        <v>1</v>
      </c>
      <c r="D8">
        <v>3</v>
      </c>
      <c r="E8">
        <v>2</v>
      </c>
      <c r="F8">
        <v>8</v>
      </c>
      <c r="G8">
        <v>3</v>
      </c>
      <c r="H8">
        <v>4</v>
      </c>
    </row>
    <row r="9" spans="1:8" x14ac:dyDescent="0.2">
      <c r="A9">
        <v>6</v>
      </c>
      <c r="B9">
        <v>1</v>
      </c>
      <c r="C9">
        <v>2</v>
      </c>
      <c r="D9">
        <v>8</v>
      </c>
      <c r="E9">
        <v>4</v>
      </c>
      <c r="F9">
        <v>3</v>
      </c>
      <c r="G9">
        <v>5</v>
      </c>
      <c r="H9">
        <v>7</v>
      </c>
    </row>
    <row r="10" spans="1:8" x14ac:dyDescent="0.2">
      <c r="A10">
        <v>6</v>
      </c>
      <c r="B10">
        <v>1</v>
      </c>
      <c r="C10">
        <v>8</v>
      </c>
      <c r="D10">
        <v>8</v>
      </c>
      <c r="E10">
        <v>8</v>
      </c>
      <c r="F10">
        <v>3</v>
      </c>
      <c r="G10">
        <v>6</v>
      </c>
      <c r="H10">
        <v>7</v>
      </c>
    </row>
    <row r="11" spans="1:8" x14ac:dyDescent="0.2">
      <c r="A11">
        <v>6</v>
      </c>
      <c r="B11">
        <v>1</v>
      </c>
      <c r="C11">
        <v>2</v>
      </c>
      <c r="D11">
        <v>7</v>
      </c>
      <c r="E11">
        <v>4</v>
      </c>
      <c r="F11">
        <v>3</v>
      </c>
      <c r="G11">
        <v>5</v>
      </c>
      <c r="H11">
        <v>8</v>
      </c>
    </row>
    <row r="12" spans="1:8" x14ac:dyDescent="0.2">
      <c r="A12">
        <v>1</v>
      </c>
      <c r="B12">
        <v>2</v>
      </c>
      <c r="C12">
        <v>6</v>
      </c>
      <c r="D12">
        <v>5</v>
      </c>
      <c r="E12">
        <v>7</v>
      </c>
      <c r="F12">
        <v>4</v>
      </c>
      <c r="G12">
        <v>3</v>
      </c>
      <c r="H12">
        <v>8</v>
      </c>
    </row>
    <row r="13" spans="1:8" x14ac:dyDescent="0.2">
      <c r="A13">
        <v>1</v>
      </c>
      <c r="B13">
        <v>5</v>
      </c>
      <c r="C13">
        <v>7</v>
      </c>
      <c r="D13">
        <v>6</v>
      </c>
      <c r="E13">
        <v>3</v>
      </c>
      <c r="F13">
        <v>8</v>
      </c>
      <c r="G13">
        <v>2</v>
      </c>
      <c r="H13">
        <v>4</v>
      </c>
    </row>
    <row r="14" spans="1:8" x14ac:dyDescent="0.2">
      <c r="A14">
        <v>2</v>
      </c>
      <c r="B14">
        <v>1</v>
      </c>
      <c r="C14">
        <v>5</v>
      </c>
      <c r="D14">
        <v>8</v>
      </c>
      <c r="E14">
        <v>8</v>
      </c>
      <c r="F14">
        <v>8</v>
      </c>
      <c r="G14">
        <v>6</v>
      </c>
      <c r="H14">
        <v>7</v>
      </c>
    </row>
    <row r="15" spans="1:8" x14ac:dyDescent="0.2">
      <c r="A15">
        <v>4</v>
      </c>
      <c r="B15">
        <v>4</v>
      </c>
      <c r="C15">
        <v>3</v>
      </c>
      <c r="D15">
        <v>2</v>
      </c>
      <c r="E15">
        <v>4</v>
      </c>
      <c r="F15">
        <v>4</v>
      </c>
      <c r="G15">
        <v>4</v>
      </c>
      <c r="H15">
        <v>1</v>
      </c>
    </row>
    <row r="16" spans="1:8" x14ac:dyDescent="0.2">
      <c r="A16">
        <v>2</v>
      </c>
      <c r="B16">
        <v>1</v>
      </c>
      <c r="C16">
        <v>6</v>
      </c>
      <c r="D16">
        <v>8</v>
      </c>
      <c r="E16">
        <v>5</v>
      </c>
      <c r="F16">
        <v>7</v>
      </c>
      <c r="G16">
        <v>4</v>
      </c>
      <c r="H16">
        <v>3</v>
      </c>
    </row>
    <row r="17" spans="1:8" x14ac:dyDescent="0.2">
      <c r="A17">
        <v>4</v>
      </c>
      <c r="B17">
        <v>3</v>
      </c>
      <c r="C17">
        <v>8</v>
      </c>
      <c r="D17">
        <v>7</v>
      </c>
      <c r="E17">
        <v>6</v>
      </c>
      <c r="F17">
        <v>1</v>
      </c>
      <c r="G17">
        <v>2</v>
      </c>
      <c r="H17">
        <v>5</v>
      </c>
    </row>
    <row r="18" spans="1:8" x14ac:dyDescent="0.2">
      <c r="A18">
        <v>8</v>
      </c>
      <c r="B18">
        <v>3</v>
      </c>
      <c r="C18">
        <v>4</v>
      </c>
      <c r="D18">
        <v>8</v>
      </c>
      <c r="E18">
        <v>8</v>
      </c>
      <c r="F18">
        <v>4</v>
      </c>
      <c r="G18">
        <v>1</v>
      </c>
      <c r="H18">
        <v>7</v>
      </c>
    </row>
    <row r="19" spans="1:8" x14ac:dyDescent="0.2">
      <c r="A19">
        <v>2</v>
      </c>
      <c r="B19">
        <v>1</v>
      </c>
      <c r="C19">
        <v>8</v>
      </c>
      <c r="D19">
        <v>6</v>
      </c>
      <c r="E19">
        <v>4</v>
      </c>
      <c r="F19">
        <v>7</v>
      </c>
      <c r="G19">
        <v>3</v>
      </c>
      <c r="H19">
        <v>5</v>
      </c>
    </row>
    <row r="20" spans="1:8" x14ac:dyDescent="0.2">
      <c r="A20">
        <v>3</v>
      </c>
      <c r="B20">
        <v>7</v>
      </c>
      <c r="C20">
        <v>1</v>
      </c>
      <c r="D20">
        <v>8</v>
      </c>
      <c r="E20">
        <v>5</v>
      </c>
      <c r="F20">
        <v>4</v>
      </c>
      <c r="G20">
        <v>2</v>
      </c>
      <c r="H20">
        <v>6</v>
      </c>
    </row>
    <row r="21" spans="1:8" x14ac:dyDescent="0.2">
      <c r="A21">
        <v>6</v>
      </c>
      <c r="B21">
        <v>4</v>
      </c>
      <c r="C21">
        <v>3</v>
      </c>
      <c r="D21">
        <v>7</v>
      </c>
      <c r="E21">
        <v>2</v>
      </c>
      <c r="F21">
        <v>5</v>
      </c>
      <c r="G21">
        <v>1</v>
      </c>
      <c r="H21">
        <v>8</v>
      </c>
    </row>
    <row r="22" spans="1:8" x14ac:dyDescent="0.2">
      <c r="A22">
        <v>8</v>
      </c>
      <c r="B22">
        <v>4</v>
      </c>
      <c r="C22">
        <v>3</v>
      </c>
      <c r="D22">
        <v>6</v>
      </c>
      <c r="E22">
        <v>7</v>
      </c>
      <c r="F22">
        <v>1</v>
      </c>
      <c r="G22">
        <v>2</v>
      </c>
      <c r="H22">
        <v>5</v>
      </c>
    </row>
    <row r="23" spans="1:8" x14ac:dyDescent="0.2">
      <c r="A23">
        <v>8</v>
      </c>
      <c r="B23">
        <v>4</v>
      </c>
      <c r="C23">
        <v>1</v>
      </c>
      <c r="D23">
        <v>8</v>
      </c>
      <c r="E23">
        <v>8</v>
      </c>
      <c r="F23">
        <v>3</v>
      </c>
      <c r="G23">
        <v>2</v>
      </c>
      <c r="H23">
        <v>5</v>
      </c>
    </row>
    <row r="24" spans="1:8" x14ac:dyDescent="0.2">
      <c r="A24">
        <v>2</v>
      </c>
      <c r="B24">
        <v>5</v>
      </c>
      <c r="C24">
        <v>1</v>
      </c>
      <c r="D24">
        <v>6</v>
      </c>
      <c r="E24">
        <v>7</v>
      </c>
      <c r="F24">
        <v>4</v>
      </c>
      <c r="G24">
        <v>3</v>
      </c>
      <c r="H24">
        <v>8</v>
      </c>
    </row>
    <row r="25" spans="1:8" x14ac:dyDescent="0.2">
      <c r="A25">
        <v>6</v>
      </c>
      <c r="B25">
        <v>5</v>
      </c>
      <c r="C25">
        <v>1</v>
      </c>
      <c r="D25">
        <v>8</v>
      </c>
      <c r="E25">
        <v>4</v>
      </c>
      <c r="F25">
        <v>3</v>
      </c>
      <c r="G25">
        <v>2</v>
      </c>
      <c r="H25">
        <v>7</v>
      </c>
    </row>
    <row r="26" spans="1:8" x14ac:dyDescent="0.2">
      <c r="A26">
        <v>8</v>
      </c>
      <c r="B26">
        <v>3</v>
      </c>
      <c r="C26">
        <v>2</v>
      </c>
      <c r="D26">
        <v>7</v>
      </c>
      <c r="E26">
        <v>4</v>
      </c>
      <c r="F26">
        <v>5</v>
      </c>
      <c r="G26">
        <v>1</v>
      </c>
      <c r="H26">
        <v>6</v>
      </c>
    </row>
    <row r="27" spans="1:8" x14ac:dyDescent="0.2">
      <c r="A27">
        <v>1</v>
      </c>
      <c r="B27">
        <v>4</v>
      </c>
      <c r="C27">
        <v>2</v>
      </c>
      <c r="D27">
        <v>7</v>
      </c>
      <c r="E27">
        <v>8</v>
      </c>
      <c r="F27">
        <v>3</v>
      </c>
      <c r="G27">
        <v>5</v>
      </c>
      <c r="H27">
        <v>6</v>
      </c>
    </row>
    <row r="28" spans="1:8" x14ac:dyDescent="0.2">
      <c r="A28">
        <v>7</v>
      </c>
      <c r="B28">
        <v>1</v>
      </c>
      <c r="C28">
        <v>6</v>
      </c>
      <c r="D28">
        <v>7</v>
      </c>
      <c r="E28">
        <v>1</v>
      </c>
      <c r="F28">
        <v>6</v>
      </c>
      <c r="G28">
        <v>1</v>
      </c>
      <c r="H28">
        <v>8</v>
      </c>
    </row>
    <row r="29" spans="1:8" x14ac:dyDescent="0.2">
      <c r="A29">
        <v>4</v>
      </c>
      <c r="B29">
        <v>5</v>
      </c>
      <c r="C29">
        <v>3</v>
      </c>
      <c r="D29">
        <v>6</v>
      </c>
      <c r="E29">
        <v>6</v>
      </c>
      <c r="F29">
        <v>2</v>
      </c>
      <c r="G29">
        <v>1</v>
      </c>
      <c r="H29">
        <v>8</v>
      </c>
    </row>
    <row r="30" spans="1:8" x14ac:dyDescent="0.2">
      <c r="A30">
        <v>1</v>
      </c>
      <c r="B30">
        <v>2</v>
      </c>
      <c r="C30">
        <v>7</v>
      </c>
      <c r="D30">
        <v>8</v>
      </c>
      <c r="E30">
        <v>6</v>
      </c>
      <c r="F30">
        <v>4</v>
      </c>
      <c r="G30">
        <v>3</v>
      </c>
      <c r="H30">
        <v>5</v>
      </c>
    </row>
    <row r="31" spans="1:8" x14ac:dyDescent="0.2">
      <c r="A31">
        <v>7</v>
      </c>
      <c r="B31">
        <v>6</v>
      </c>
      <c r="C31">
        <v>3</v>
      </c>
      <c r="D31">
        <v>5</v>
      </c>
      <c r="E31">
        <v>4</v>
      </c>
      <c r="F31">
        <v>2</v>
      </c>
      <c r="G31">
        <v>1</v>
      </c>
      <c r="H31">
        <v>8</v>
      </c>
    </row>
    <row r="32" spans="1:8" x14ac:dyDescent="0.2">
      <c r="A32">
        <v>7</v>
      </c>
      <c r="B32">
        <v>2</v>
      </c>
      <c r="C32">
        <v>4</v>
      </c>
      <c r="D32">
        <v>6</v>
      </c>
      <c r="E32">
        <v>3</v>
      </c>
      <c r="F32">
        <v>5</v>
      </c>
      <c r="G32">
        <v>1</v>
      </c>
      <c r="H32">
        <v>8</v>
      </c>
    </row>
    <row r="33" spans="1:8" x14ac:dyDescent="0.2">
      <c r="A33">
        <v>8</v>
      </c>
      <c r="B33">
        <v>1</v>
      </c>
      <c r="C33">
        <v>4</v>
      </c>
      <c r="D33">
        <v>6</v>
      </c>
      <c r="E33">
        <v>5</v>
      </c>
      <c r="F33">
        <v>3</v>
      </c>
      <c r="G33">
        <v>2</v>
      </c>
      <c r="H33">
        <v>7</v>
      </c>
    </row>
    <row r="34" spans="1:8" x14ac:dyDescent="0.2">
      <c r="A34">
        <v>4</v>
      </c>
      <c r="B34">
        <v>2</v>
      </c>
      <c r="C34">
        <v>4</v>
      </c>
      <c r="D34">
        <v>4</v>
      </c>
      <c r="E34">
        <v>3</v>
      </c>
      <c r="F34">
        <v>2</v>
      </c>
      <c r="G34">
        <v>1</v>
      </c>
      <c r="H34">
        <v>8</v>
      </c>
    </row>
    <row r="35" spans="1:8" x14ac:dyDescent="0.2">
      <c r="A35">
        <v>5</v>
      </c>
      <c r="B35">
        <v>4</v>
      </c>
      <c r="C35">
        <v>3</v>
      </c>
      <c r="D35">
        <v>7</v>
      </c>
      <c r="E35">
        <v>6</v>
      </c>
      <c r="F35">
        <v>1</v>
      </c>
      <c r="G35">
        <v>2</v>
      </c>
      <c r="H35">
        <v>8</v>
      </c>
    </row>
    <row r="36" spans="1:8" x14ac:dyDescent="0.2">
      <c r="A36">
        <v>5</v>
      </c>
      <c r="B36">
        <v>2</v>
      </c>
      <c r="C36">
        <v>1</v>
      </c>
      <c r="D36">
        <v>7</v>
      </c>
      <c r="E36">
        <v>3</v>
      </c>
      <c r="F36">
        <v>4</v>
      </c>
      <c r="G36">
        <v>2</v>
      </c>
      <c r="H36">
        <v>8</v>
      </c>
    </row>
    <row r="37" spans="1:8" x14ac:dyDescent="0.2">
      <c r="A37">
        <v>6</v>
      </c>
      <c r="B37">
        <v>1</v>
      </c>
      <c r="C37">
        <v>4</v>
      </c>
      <c r="D37">
        <v>7</v>
      </c>
      <c r="E37">
        <v>5</v>
      </c>
      <c r="F37">
        <v>2</v>
      </c>
      <c r="G37">
        <v>3</v>
      </c>
      <c r="H37">
        <v>8</v>
      </c>
    </row>
    <row r="38" spans="1:8" x14ac:dyDescent="0.2">
      <c r="A38">
        <v>1</v>
      </c>
      <c r="B38">
        <v>5</v>
      </c>
      <c r="C38">
        <v>3</v>
      </c>
      <c r="D38">
        <v>2</v>
      </c>
      <c r="E38">
        <v>4</v>
      </c>
      <c r="F38">
        <v>8</v>
      </c>
      <c r="G38">
        <v>6</v>
      </c>
      <c r="H38">
        <v>7</v>
      </c>
    </row>
    <row r="39" spans="1:8" x14ac:dyDescent="0.2">
      <c r="A39">
        <v>5</v>
      </c>
      <c r="B39">
        <v>2</v>
      </c>
      <c r="C39">
        <v>4</v>
      </c>
      <c r="D39">
        <v>8</v>
      </c>
      <c r="E39">
        <v>7</v>
      </c>
      <c r="F39">
        <v>6</v>
      </c>
      <c r="G39">
        <v>1</v>
      </c>
      <c r="H39">
        <v>3</v>
      </c>
    </row>
    <row r="40" spans="1:8" x14ac:dyDescent="0.2">
      <c r="A40">
        <v>7</v>
      </c>
      <c r="B40">
        <v>3</v>
      </c>
      <c r="C40">
        <v>2</v>
      </c>
      <c r="D40">
        <v>4</v>
      </c>
      <c r="E40">
        <v>1</v>
      </c>
      <c r="F40">
        <v>6</v>
      </c>
      <c r="G40">
        <v>5</v>
      </c>
      <c r="H40">
        <v>8</v>
      </c>
    </row>
    <row r="41" spans="1:8" x14ac:dyDescent="0.2">
      <c r="A41">
        <v>5</v>
      </c>
      <c r="B41">
        <v>5</v>
      </c>
      <c r="C41">
        <v>4</v>
      </c>
      <c r="D41">
        <v>7</v>
      </c>
      <c r="E41">
        <v>4</v>
      </c>
      <c r="F41">
        <v>4</v>
      </c>
      <c r="G41">
        <v>3</v>
      </c>
      <c r="H41">
        <v>8</v>
      </c>
    </row>
    <row r="42" spans="1:8" x14ac:dyDescent="0.2">
      <c r="A42">
        <v>1</v>
      </c>
      <c r="B42">
        <v>2</v>
      </c>
      <c r="C42">
        <v>7</v>
      </c>
      <c r="D42">
        <v>8</v>
      </c>
      <c r="E42">
        <v>5</v>
      </c>
      <c r="F42">
        <v>3</v>
      </c>
      <c r="G42">
        <v>6</v>
      </c>
      <c r="H42">
        <v>4</v>
      </c>
    </row>
    <row r="43" spans="1:8" x14ac:dyDescent="0.2">
      <c r="A43">
        <v>8</v>
      </c>
      <c r="B43">
        <v>4</v>
      </c>
      <c r="C43">
        <v>2</v>
      </c>
      <c r="D43">
        <v>8</v>
      </c>
      <c r="E43">
        <v>1</v>
      </c>
      <c r="F43">
        <v>2</v>
      </c>
      <c r="G43">
        <v>3</v>
      </c>
      <c r="H43">
        <v>8</v>
      </c>
    </row>
    <row r="44" spans="1:8" x14ac:dyDescent="0.2">
      <c r="A44">
        <v>5</v>
      </c>
      <c r="B44">
        <v>4</v>
      </c>
      <c r="C44">
        <v>3</v>
      </c>
      <c r="D44">
        <v>7</v>
      </c>
      <c r="E44">
        <v>6</v>
      </c>
      <c r="F44">
        <v>1</v>
      </c>
      <c r="G44">
        <v>2</v>
      </c>
      <c r="H44">
        <v>8</v>
      </c>
    </row>
    <row r="45" spans="1:8" x14ac:dyDescent="0.2">
      <c r="A45">
        <v>3</v>
      </c>
      <c r="B45">
        <v>2</v>
      </c>
      <c r="C45">
        <v>8</v>
      </c>
      <c r="D45">
        <v>8</v>
      </c>
      <c r="E45">
        <v>8</v>
      </c>
      <c r="F45">
        <v>4</v>
      </c>
      <c r="G45">
        <v>1</v>
      </c>
      <c r="H45">
        <v>7</v>
      </c>
    </row>
    <row r="46" spans="1:8" x14ac:dyDescent="0.2">
      <c r="A46">
        <v>8</v>
      </c>
      <c r="B46">
        <v>4</v>
      </c>
      <c r="C46">
        <v>1</v>
      </c>
      <c r="D46">
        <v>7</v>
      </c>
      <c r="E46">
        <v>6</v>
      </c>
      <c r="F46">
        <v>2</v>
      </c>
      <c r="G46">
        <v>3</v>
      </c>
      <c r="H46">
        <v>5</v>
      </c>
    </row>
    <row r="47" spans="1:8" x14ac:dyDescent="0.2">
      <c r="A47">
        <v>7</v>
      </c>
      <c r="B47">
        <v>1</v>
      </c>
      <c r="C47">
        <v>5</v>
      </c>
      <c r="D47">
        <v>8</v>
      </c>
      <c r="E47">
        <v>3</v>
      </c>
      <c r="F47">
        <v>6</v>
      </c>
      <c r="G47">
        <v>2</v>
      </c>
      <c r="H47">
        <v>4</v>
      </c>
    </row>
    <row r="48" spans="1:8" x14ac:dyDescent="0.2">
      <c r="A48">
        <v>5</v>
      </c>
      <c r="B48">
        <v>4</v>
      </c>
      <c r="C48">
        <v>3</v>
      </c>
      <c r="D48">
        <v>6</v>
      </c>
      <c r="E48">
        <v>7</v>
      </c>
      <c r="F48">
        <v>2</v>
      </c>
      <c r="G48">
        <v>1</v>
      </c>
      <c r="H48">
        <v>8</v>
      </c>
    </row>
    <row r="49" spans="1:8" x14ac:dyDescent="0.2">
      <c r="A49">
        <v>3</v>
      </c>
      <c r="B49">
        <v>2</v>
      </c>
      <c r="C49">
        <v>4</v>
      </c>
      <c r="D49">
        <v>7</v>
      </c>
      <c r="E49">
        <v>6</v>
      </c>
      <c r="F49">
        <v>5</v>
      </c>
      <c r="G49">
        <v>1</v>
      </c>
      <c r="H49">
        <v>8</v>
      </c>
    </row>
    <row r="50" spans="1:8" x14ac:dyDescent="0.2">
      <c r="A50">
        <v>3</v>
      </c>
      <c r="B50">
        <v>6</v>
      </c>
      <c r="C50">
        <v>5</v>
      </c>
      <c r="D50">
        <v>8</v>
      </c>
      <c r="E50">
        <v>7</v>
      </c>
      <c r="F50">
        <v>2</v>
      </c>
      <c r="G50">
        <v>1</v>
      </c>
      <c r="H50">
        <v>4</v>
      </c>
    </row>
    <row r="51" spans="1:8" x14ac:dyDescent="0.2">
      <c r="A51">
        <v>1</v>
      </c>
      <c r="B51">
        <v>5</v>
      </c>
      <c r="C51">
        <v>4</v>
      </c>
      <c r="D51">
        <v>8</v>
      </c>
      <c r="E51">
        <v>7</v>
      </c>
      <c r="F51">
        <v>2</v>
      </c>
      <c r="G51">
        <v>3</v>
      </c>
      <c r="H51">
        <v>6</v>
      </c>
    </row>
    <row r="52" spans="1:8" x14ac:dyDescent="0.2">
      <c r="A52">
        <v>6</v>
      </c>
      <c r="B52">
        <v>5</v>
      </c>
      <c r="C52">
        <v>1</v>
      </c>
      <c r="D52">
        <v>7</v>
      </c>
      <c r="E52">
        <v>4</v>
      </c>
      <c r="F52">
        <v>2</v>
      </c>
      <c r="G52">
        <v>3</v>
      </c>
      <c r="H52">
        <v>8</v>
      </c>
    </row>
    <row r="53" spans="1:8" x14ac:dyDescent="0.2">
      <c r="A53">
        <v>8</v>
      </c>
      <c r="B53">
        <v>6</v>
      </c>
      <c r="C53">
        <v>1</v>
      </c>
      <c r="D53">
        <v>4</v>
      </c>
      <c r="E53">
        <v>7</v>
      </c>
      <c r="F53">
        <v>2</v>
      </c>
      <c r="G53">
        <v>3</v>
      </c>
      <c r="H53">
        <v>5</v>
      </c>
    </row>
    <row r="54" spans="1:8" x14ac:dyDescent="0.2">
      <c r="A54">
        <v>1</v>
      </c>
      <c r="B54">
        <v>2</v>
      </c>
      <c r="C54">
        <v>8</v>
      </c>
      <c r="D54">
        <v>4</v>
      </c>
      <c r="E54">
        <v>7</v>
      </c>
      <c r="F54">
        <v>6</v>
      </c>
      <c r="G54">
        <v>5</v>
      </c>
      <c r="H54">
        <v>3</v>
      </c>
    </row>
    <row r="55" spans="1:8" x14ac:dyDescent="0.2">
      <c r="A55">
        <v>6</v>
      </c>
      <c r="B55">
        <v>6</v>
      </c>
      <c r="C55">
        <v>5</v>
      </c>
      <c r="D55">
        <v>3</v>
      </c>
      <c r="E55">
        <v>4</v>
      </c>
      <c r="F55">
        <v>1</v>
      </c>
      <c r="G55">
        <v>2</v>
      </c>
      <c r="H55">
        <v>8</v>
      </c>
    </row>
    <row r="56" spans="1:8" x14ac:dyDescent="0.2">
      <c r="A56">
        <v>1</v>
      </c>
      <c r="B56">
        <v>1</v>
      </c>
      <c r="C56">
        <v>6</v>
      </c>
      <c r="D56">
        <v>7</v>
      </c>
      <c r="E56">
        <v>6</v>
      </c>
      <c r="F56">
        <v>6</v>
      </c>
      <c r="G56">
        <v>1</v>
      </c>
      <c r="H56">
        <v>8</v>
      </c>
    </row>
    <row r="57" spans="1:8" x14ac:dyDescent="0.2">
      <c r="A57">
        <v>8</v>
      </c>
      <c r="B57">
        <v>8</v>
      </c>
      <c r="C57">
        <v>1</v>
      </c>
      <c r="D57">
        <v>8</v>
      </c>
      <c r="E57">
        <v>8</v>
      </c>
      <c r="F57">
        <v>8</v>
      </c>
      <c r="G57">
        <v>2</v>
      </c>
      <c r="H57">
        <v>3</v>
      </c>
    </row>
    <row r="58" spans="1:8" x14ac:dyDescent="0.2">
      <c r="A58">
        <v>8</v>
      </c>
      <c r="B58">
        <v>5</v>
      </c>
      <c r="C58">
        <v>2</v>
      </c>
      <c r="D58">
        <v>6</v>
      </c>
      <c r="E58">
        <v>6</v>
      </c>
      <c r="F58">
        <v>2</v>
      </c>
      <c r="G58">
        <v>1</v>
      </c>
      <c r="H58">
        <v>4</v>
      </c>
    </row>
    <row r="59" spans="1:8" x14ac:dyDescent="0.2">
      <c r="A59">
        <v>8</v>
      </c>
      <c r="B59">
        <v>7</v>
      </c>
      <c r="C59">
        <v>2</v>
      </c>
      <c r="D59">
        <v>4</v>
      </c>
      <c r="E59">
        <v>6</v>
      </c>
      <c r="F59">
        <v>3</v>
      </c>
      <c r="G59">
        <v>1</v>
      </c>
      <c r="H59">
        <v>5</v>
      </c>
    </row>
    <row r="60" spans="1:8" x14ac:dyDescent="0.2">
      <c r="A60">
        <v>3</v>
      </c>
      <c r="B60">
        <v>4</v>
      </c>
      <c r="C60">
        <v>2</v>
      </c>
      <c r="D60">
        <v>5</v>
      </c>
      <c r="E60">
        <v>1</v>
      </c>
      <c r="F60">
        <v>6</v>
      </c>
      <c r="G60">
        <v>7</v>
      </c>
      <c r="H60">
        <v>8</v>
      </c>
    </row>
    <row r="61" spans="1:8" x14ac:dyDescent="0.2">
      <c r="A61">
        <v>1</v>
      </c>
      <c r="B61">
        <v>8</v>
      </c>
      <c r="C61">
        <v>1</v>
      </c>
      <c r="D61">
        <v>1</v>
      </c>
      <c r="E61">
        <v>8</v>
      </c>
      <c r="F61">
        <v>8</v>
      </c>
      <c r="G61">
        <v>8</v>
      </c>
      <c r="H61">
        <v>8</v>
      </c>
    </row>
    <row r="62" spans="1:8" x14ac:dyDescent="0.2">
      <c r="A62">
        <v>3</v>
      </c>
      <c r="B62">
        <v>1</v>
      </c>
      <c r="C62">
        <v>8</v>
      </c>
      <c r="D62">
        <v>8</v>
      </c>
      <c r="E62">
        <v>5</v>
      </c>
      <c r="F62">
        <v>8</v>
      </c>
      <c r="G62">
        <v>2</v>
      </c>
      <c r="H62">
        <v>4</v>
      </c>
    </row>
    <row r="63" spans="1:8" x14ac:dyDescent="0.2">
      <c r="A63">
        <v>8</v>
      </c>
      <c r="B63">
        <v>7</v>
      </c>
      <c r="C63">
        <v>1</v>
      </c>
      <c r="D63">
        <v>5</v>
      </c>
      <c r="E63">
        <v>2</v>
      </c>
      <c r="F63">
        <v>3</v>
      </c>
      <c r="G63">
        <v>4</v>
      </c>
      <c r="H63">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data</vt:lpstr>
      <vt:lpstr>notes</vt:lpstr>
      <vt:lpstr>rank choice to binary</vt:lpstr>
      <vt:lpstr>Sheet4</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Streeter, Michael T</cp:lastModifiedBy>
  <dcterms:created xsi:type="dcterms:W3CDTF">2026-09-25T19:35:43Z</dcterms:created>
  <dcterms:modified xsi:type="dcterms:W3CDTF">2026-09-27T17:05:01Z</dcterms:modified>
</cp:coreProperties>
</file>