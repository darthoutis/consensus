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ichael/repos/consensus/"/>
    </mc:Choice>
  </mc:AlternateContent>
  <xr:revisionPtr revIDLastSave="0" documentId="8_{66121447-1720-A542-B875-12163BAAC958}" xr6:coauthVersionLast="47" xr6:coauthVersionMax="47" xr10:uidLastSave="{00000000-0000-0000-0000-000000000000}"/>
  <bookViews>
    <workbookView xWindow="0" yWindow="760" windowWidth="29400" windowHeight="18360" activeTab="1" xr2:uid="{00000000-000D-0000-FFFF-FFFF00000000}"/>
  </bookViews>
  <sheets>
    <sheet name="Sheet1" sheetId="7" r:id="rId1"/>
    <sheet name="data" sheetId="1" r:id="rId2"/>
    <sheet name="notes" sheetId="6" r:id="rId3"/>
    <sheet name="rank choice to binary" sheetId="3" r:id="rId4"/>
    <sheet name="Sheet4" sheetId="5" r:id="rId5"/>
    <sheet name="Sheet3" sheetId="4" r:id="rId6"/>
  </sheets>
  <definedNames>
    <definedName name="_xlnm._FilterDatabase" localSheetId="1" hidden="1">data!$A$1:$Y$131</definedName>
    <definedName name="_xlnm._FilterDatabase" localSheetId="3" hidden="1">'rank choice to binary'!$A$1:$I$9</definedName>
  </definedNames>
  <calcPr calcId="191029"/>
  <pivotCaches>
    <pivotCache cacheId="1" r:id="rId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2" i="1"/>
  <c r="S54" i="1"/>
  <c r="U54" i="1" s="1"/>
  <c r="S55" i="1"/>
  <c r="U55" i="1" s="1"/>
  <c r="S56" i="1"/>
  <c r="U56" i="1" s="1"/>
  <c r="S57" i="1"/>
  <c r="U57" i="1" s="1"/>
  <c r="S58" i="1"/>
  <c r="U58" i="1" s="1"/>
  <c r="S59" i="1"/>
  <c r="U59" i="1" s="1"/>
  <c r="S53" i="1"/>
  <c r="U53" i="1" s="1"/>
</calcChain>
</file>

<file path=xl/sharedStrings.xml><?xml version="1.0" encoding="utf-8"?>
<sst xmlns="http://schemas.openxmlformats.org/spreadsheetml/2006/main" count="1538" uniqueCount="430">
  <si>
    <t>Issue #</t>
  </si>
  <si>
    <t>Date</t>
  </si>
  <si>
    <t>Topic / Proposal Title</t>
  </si>
  <si>
    <t>PEP #</t>
  </si>
  <si>
    <t>Vote Link</t>
  </si>
  <si>
    <t>Voting Method</t>
  </si>
  <si>
    <t>Tally Method</t>
  </si>
  <si>
    <t>Yes Votes</t>
  </si>
  <si>
    <t>No Votes</t>
  </si>
  <si>
    <t>Abstain Votes</t>
  </si>
  <si>
    <t>Draft / Text Link (PR)</t>
  </si>
  <si>
    <t>Checkbox Sign-off</t>
  </si>
  <si>
    <t>N/A (No PR linked)</t>
  </si>
  <si>
    <t>2023-11-29</t>
  </si>
  <si>
    <t>Adopt the initial Python typing spec</t>
  </si>
  <si>
    <t>N/A</t>
  </si>
  <si>
    <t>https://github.com/python/typing-council/issues/3</t>
  </si>
  <si>
    <t>https://github.com/python/typing/pull/1517</t>
  </si>
  <si>
    <t>2024-01-10</t>
  </si>
  <si>
    <t>Allow `NoReturn` to appear outside of function return type annotations</t>
  </si>
  <si>
    <t>https://github.com/python/typing-council/issues/5</t>
  </si>
  <si>
    <t>https://github.com/python/typing/pull/1570</t>
  </si>
  <si>
    <t>2024-01-12</t>
  </si>
  <si>
    <t>Allow unary + in Literal integers</t>
  </si>
  <si>
    <t>https://github.com/python/typing-council/issues/7</t>
  </si>
  <si>
    <t>Do not reject use of covariant or contravariant TypeVars in a function</t>
  </si>
  <si>
    <t>https://github.com/python/typing-council/issues/8</t>
  </si>
  <si>
    <t>https://github.com/python/typing/pull/1576</t>
  </si>
  <si>
    <t>https://discuss.python.org/t/rejecting-the-use-of-a-covariant-contravariant-typevar-in-a-function-or-type-alias/42769/4</t>
  </si>
  <si>
    <t>2024-01-13</t>
  </si>
  <si>
    <t>Treat triple-quoted type annotation expressions as implicitly parenthesized</t>
  </si>
  <si>
    <t>https://github.com/python/typing-council/issues/9</t>
  </si>
  <si>
    <t>https://github.com/python/typing/pull/1578</t>
  </si>
  <si>
    <t>https://discuss.python.org/t/newlines-within-triple-quoted-type-expressions/42833</t>
  </si>
  <si>
    <t>2024-01-16</t>
  </si>
  <si>
    <t>Pep 724 - Formal request to accept</t>
  </si>
  <si>
    <t>https://github.com/python/typing-council/issues/10</t>
  </si>
  <si>
    <t>https://discuss.python.org/t/pep-724-stricter-type-guards/34124</t>
  </si>
  <si>
    <t>2024-01-20</t>
  </si>
  <si>
    <t>Typing spec update for enumerations</t>
  </si>
  <si>
    <t>https://github.com/python/typing-council/issues/11</t>
  </si>
  <si>
    <t>https://github.com/python/typing/pull/1591</t>
  </si>
  <si>
    <t>https://discuss.python.org/t/draft-of-typing-spec-chapter-for-enums/43496/9</t>
  </si>
  <si>
    <t>2024-01-24</t>
  </si>
  <si>
    <t>PEP 696</t>
  </si>
  <si>
    <t>https://github.com/python/typing-council/issues/12</t>
  </si>
  <si>
    <t>https://discuss.python.org/t/pep-696-type-defaults-for-typevarlikes/22569/6</t>
  </si>
  <si>
    <t>Typing spec update for tuples</t>
  </si>
  <si>
    <t>https://github.com/python/typing-council/issues/13</t>
  </si>
  <si>
    <t>https://github.com/python/typing/pull/1599</t>
  </si>
  <si>
    <t>https://discuss.python.org/t/draft-of-typing-spec-chapter-for-tuples/43701</t>
  </si>
  <si>
    <t>2024-02-01</t>
  </si>
  <si>
    <t>Decision on PEP 705</t>
  </si>
  <si>
    <t>https://github.com/python/typing-council/issues/14</t>
  </si>
  <si>
    <t>2024-02-03</t>
  </si>
  <si>
    <t>`@no_type_check` decorator</t>
  </si>
  <si>
    <t>https://github.com/python/typing-council/issues/16</t>
  </si>
  <si>
    <t>https://github.com/python/typing/pull/1615</t>
  </si>
  <si>
    <t>https://discuss.python.org/t/no-type-check-decorator/43119</t>
  </si>
  <si>
    <t>Typing spec update for named tuples</t>
  </si>
  <si>
    <t>https://github.com/python/typing-council/issues/17</t>
  </si>
  <si>
    <t>https://github.com/python/typing/pull/1614</t>
  </si>
  <si>
    <t>https://discuss.python.org/t/draft-of-typing-spec-chapter-for-named-tuples/44519</t>
  </si>
  <si>
    <t>2024-02-10</t>
  </si>
  <si>
    <t>Typing spec change for `Annotated` special form</t>
  </si>
  <si>
    <t>https://github.com/python/typing-council/issues/18</t>
  </si>
  <si>
    <t>https://github.com/python/typing/pull/1618</t>
  </si>
  <si>
    <t>https://discuss.python.org/t/is-annotated-compatible-with-type-t/43898</t>
  </si>
  <si>
    <t>2024-02-11</t>
  </si>
  <si>
    <t>Clarification on pre-3.8 way to specify positional-only parameters</t>
  </si>
  <si>
    <t>https://github.com/python/typing-council/issues/19</t>
  </si>
  <si>
    <t>https://github.com/python/typing/pull/1619</t>
  </si>
  <si>
    <t>https://discuss.python.org/t/ambiguities-about-positional-only-parameters/42328</t>
  </si>
  <si>
    <t>2024-02-21</t>
  </si>
  <si>
    <t>Typing spec change: TypeGuard/bool compatibility</t>
  </si>
  <si>
    <t>https://github.com/python/typing-council/issues/20</t>
  </si>
  <si>
    <t>https://github.com/python/typing/pull/1637</t>
  </si>
  <si>
    <t>https://discuss.python.org/t/compatibility-between-typeguard-and-bool/46364.</t>
  </si>
  <si>
    <t>2024-03-08</t>
  </si>
  <si>
    <t>PEP 742: Narrowing types with TypeIs</t>
  </si>
  <si>
    <t>https://github.com/python/typing-council/issues/21</t>
  </si>
  <si>
    <t>2024-03-14</t>
  </si>
  <si>
    <t>PEP 728: TypedDict with Typed Extra Items</t>
  </si>
  <si>
    <t>https://github.com/python/typing-council/issues/22</t>
  </si>
  <si>
    <t>https://discuss.python.org/t/pep-728-typeddict-with-typed-extra-items/45443/1</t>
  </si>
  <si>
    <t>2024-04-03</t>
  </si>
  <si>
    <t>Typing spec update for Final and dataclasses</t>
  </si>
  <si>
    <t>https://github.com/python/typing-council/issues/24</t>
  </si>
  <si>
    <t>https://github.com/python/typing/pull/1669</t>
  </si>
  <si>
    <t>2024-04-05</t>
  </si>
  <si>
    <t>Typing spec update for constructors</t>
  </si>
  <si>
    <t>https://github.com/python/typing-council/issues/25</t>
  </si>
  <si>
    <t>https://github.com/python/typing/pull/1667</t>
  </si>
  <si>
    <t>https://discuss.python.org/t/draft-typing-spec-chapter-for-constructors/49744/17</t>
  </si>
  <si>
    <t>2024-04-08</t>
  </si>
  <si>
    <t>Typing spec update for defining "type expression" and other terms</t>
  </si>
  <si>
    <t>https://github.com/python/typing-council/issues/26</t>
  </si>
  <si>
    <t>https://discuss.python.org/t/basic-terminology-for-types-and-type-forms/46741.</t>
  </si>
  <si>
    <t>2024-04-20</t>
  </si>
  <si>
    <t>Typing spec update for exceptions / context managers</t>
  </si>
  <si>
    <t>https://github.com/python/typing-council/issues/27</t>
  </si>
  <si>
    <t>https://github.com/python/typing/pull/1718</t>
  </si>
  <si>
    <t>https://discuss.python.org/t/draft-of-typing-spec-chapter-for-exceptions/51002</t>
  </si>
  <si>
    <t>2024-05-04</t>
  </si>
  <si>
    <t>Typing spec update for callables</t>
  </si>
  <si>
    <t>https://github.com/python/typing-council/issues/28</t>
  </si>
  <si>
    <t>https://github.com/python/typing/pull/1723</t>
  </si>
  <si>
    <t>https://discuss.python.org/t/expanded-typing-spec-chapter-for-callables/51486</t>
  </si>
  <si>
    <t>2024-06-11</t>
  </si>
  <si>
    <t>Typing spec update revising typeshed's position in the module resolution order</t>
  </si>
  <si>
    <t>https://github.com/python/typing-council/issues/30</t>
  </si>
  <si>
    <t>https://github.com/python/typing/pull/1772</t>
  </si>
  <si>
    <t>https://discuss.python.org/t/pep-561-s-module-resolution-order-seems-incorrect/55048</t>
  </si>
  <si>
    <t>2024-06-17</t>
  </si>
  <si>
    <t>Typing spec update: core concepts and definitions</t>
  </si>
  <si>
    <t>https://github.com/python/typing-council/issues/31</t>
  </si>
  <si>
    <t>https://github.com/python/typing/pull/1743</t>
  </si>
  <si>
    <t>https://discuss.python.org/t/formalizing-core-definitions-in-the-typing-spec/54785</t>
  </si>
  <si>
    <t>2024-06-18</t>
  </si>
  <si>
    <t>Typing spec update: Improve spec for Annotated</t>
  </si>
  <si>
    <t>https://github.com/python/typing-council/issues/32</t>
  </si>
  <si>
    <t>https://discuss.python.org/t/proposed-spec-changes-for-annotated/55807</t>
  </si>
  <si>
    <t>2024-06-21</t>
  </si>
  <si>
    <t>Typing spec update: PEP 712 `converter` in `dataclasses` Field spec params</t>
  </si>
  <si>
    <t>https://github.com/python/typing-council/issues/33</t>
  </si>
  <si>
    <t>https://github.com/python/typing/pull/1783</t>
  </si>
  <si>
    <t>https://discuss.python.org/t/discuss-adding-converter-to-dataclass-transform/55125</t>
  </si>
  <si>
    <t>2024-08-17</t>
  </si>
  <si>
    <t>Typing spec update: syntax and supported constructs for stub files</t>
  </si>
  <si>
    <t>https://github.com/python/typing-council/issues/34</t>
  </si>
  <si>
    <t>https://github.com/python/typing/pull/1815</t>
  </si>
  <si>
    <t>https://discuss.python.org/t/merging-the-type-stubs-doc-into-the-rest-of-the-typing-documentation/58853</t>
  </si>
  <si>
    <t>2024-08-22</t>
  </si>
  <si>
    <t>Typing spec update: `type[]` distributes over unions</t>
  </si>
  <si>
    <t>https://github.com/python/typing-council/issues/35</t>
  </si>
  <si>
    <t>https://github.com/python/typing/pull/1841</t>
  </si>
  <si>
    <t>https://discuss.python.org/t/specs-clarification-type-a-b-is-equivalent-the-same-as-type-a-type-b/60912</t>
  </si>
  <si>
    <t>2024-09-27</t>
  </si>
  <si>
    <t>Typing spec update: a non-ReadOnly item in a TypedDict cannot be redeclared as ReadOnly</t>
  </si>
  <si>
    <t>https://github.com/python/typing-council/issues/36</t>
  </si>
  <si>
    <t>https://github.com/python/typing/pull/1859</t>
  </si>
  <si>
    <t>https://discuss.python.org/t/can-a-non-readonly-item-in-a-typeddict-be-redeclared-as-readonly/65082</t>
  </si>
  <si>
    <t>2024-10-31</t>
  </si>
  <si>
    <t>Typing spec update: clarifications to user-defined generic classes</t>
  </si>
  <si>
    <t>https://github.com/python/typing-council/issues/38</t>
  </si>
  <si>
    <t>https://github.com/python/typing/pull/1879</t>
  </si>
  <si>
    <t>https://discuss.python.org/t/clarifying-the-rules-for-subclassing-generic-classes/69698</t>
  </si>
  <si>
    <t>2024-12-01</t>
  </si>
  <si>
    <t>Typing spec update: `ClassVar` and `Final` within `TypedDict`</t>
  </si>
  <si>
    <t>https://github.com/python/typing-council/issues/39</t>
  </si>
  <si>
    <t>https://github.com/python/typing/pull/1890</t>
  </si>
  <si>
    <t>https://discuss.python.org/t/72880</t>
  </si>
  <si>
    <t>2025-01-25</t>
  </si>
  <si>
    <t>Typing spec update for overloads</t>
  </si>
  <si>
    <t>https://github.com/python/typing-council/issues/40</t>
  </si>
  <si>
    <t>https://github.com/python/typing/pull/1839</t>
  </si>
  <si>
    <t>https://discuss.python.org/t/draft-typing-spec-chapter-for-overloads/60788</t>
  </si>
  <si>
    <t>2025-03-04</t>
  </si>
  <si>
    <t>Clarification on imports of Final variables</t>
  </si>
  <si>
    <t>https://github.com/python/typing-council/issues/42</t>
  </si>
  <si>
    <t>https://github.com/python/typing/pull/1937</t>
  </si>
  <si>
    <t>2025-03-17</t>
  </si>
  <si>
    <t>Typing specification update: Allow bare `typing.ClassVar` qualifiers</t>
  </si>
  <si>
    <t>https://github.com/python/typing-council/issues/43</t>
  </si>
  <si>
    <t>https://github.com/python/typing/pull/1931</t>
  </si>
  <si>
    <t>https://discuss.python.org/t/81705/9</t>
  </si>
  <si>
    <t>2025-06-17</t>
  </si>
  <si>
    <t>PEP 747: Annotating Type Forms</t>
  </si>
  <si>
    <t>https://github.com/python/typing-council/issues/44</t>
  </si>
  <si>
    <t>https://github.com/python/mypy/pull/18690</t>
  </si>
  <si>
    <t>https://discuss.python.org/t/pep-747-typeexpr-type-hint-for-a-type-expression/55984</t>
  </si>
  <si>
    <t>2025-06-29</t>
  </si>
  <si>
    <t>Spec change: clarify that assert_type() uses equivalence</t>
  </si>
  <si>
    <t>https://github.com/python/typing-council/issues/45</t>
  </si>
  <si>
    <t>https://github.com/python/typing/pull/2011</t>
  </si>
  <si>
    <t>https://discuss.python.org/t/specify-that-assert-type-checks-for-equivalence/92967</t>
  </si>
  <si>
    <t>Spec change: float/int promotion is implemented through implicit unions</t>
  </si>
  <si>
    <t>https://github.com/python/typing-council/issues/46</t>
  </si>
  <si>
    <t>https://github.com/python/typing/pull/1748</t>
  </si>
  <si>
    <t>https://discuss.python.org/t/clarifying-the-float-int-complex-special-case/54018/30</t>
  </si>
  <si>
    <t>2025-07-07</t>
  </si>
  <si>
    <t>Spec change: clarify namedtuple member rules</t>
  </si>
  <si>
    <t>https://github.com/python/typing-council/issues/47</t>
  </si>
  <si>
    <t>https://github.com/python/typing/pull/1979</t>
  </si>
  <si>
    <t>https://discuss.python.org/t/adding-namedtuple-member-naming-rules-to-the-typing-spec/88882</t>
  </si>
  <si>
    <t>2025-08-20</t>
  </si>
  <si>
    <t>Spec change: TypedDict rewrite</t>
  </si>
  <si>
    <t>https://github.com/python/typing-council/issues/48</t>
  </si>
  <si>
    <t>https://github.com/python/typing/pull/2072</t>
  </si>
  <si>
    <t>2026-01-08</t>
  </si>
  <si>
    <t>PEP 800</t>
  </si>
  <si>
    <t>https://github.com/python/typing-council/issues/49</t>
  </si>
  <si>
    <t>https://discuss.python.org/t/pep-800-solid-bases-in-the-type-system/99910</t>
  </si>
  <si>
    <t>2026-01-22</t>
  </si>
  <si>
    <t>Spec change: Clarify that `tuple` should not be prohibited as an argument to `type`</t>
  </si>
  <si>
    <t>https://github.com/python/typing-council/issues/50</t>
  </si>
  <si>
    <t>https://github.com/python/typing/pull/2146</t>
  </si>
  <si>
    <t>https://discuss.python.org/t/spec-change-clarify-that-tuple-should-not-be-prohibited-as-an-argument-to-type/105590</t>
  </si>
  <si>
    <t>2026-01-28</t>
  </si>
  <si>
    <t>Spec change: Change the typing spec around string references</t>
  </si>
  <si>
    <t>https://github.com/python/typing-council/issues/51</t>
  </si>
  <si>
    <t>https://github.com/python/typing/pull/2144</t>
  </si>
  <si>
    <t>https://discuss.python.org/t/annotation-string-references-in-class-scope-in-conformance-tests/105439</t>
  </si>
  <si>
    <t>2026-02-25</t>
  </si>
  <si>
    <t>Spec Change:  Class Access of Self Variables</t>
  </si>
  <si>
    <t>https://github.com/python/typing-council/issues/53</t>
  </si>
  <si>
    <t>https://github.com/python/typing/pull/2148</t>
  </si>
  <si>
    <t>https://discuss.python.org/t/disallow-access-to-class-variables-with-self/105434</t>
  </si>
  <si>
    <t>2026-03-30</t>
  </si>
  <si>
    <t>Spec change: Do not mandate TypeVarTuple inference rules</t>
  </si>
  <si>
    <t>https://github.com/python/typing-council/issues/54</t>
  </si>
  <si>
    <t>https://github.com/python/typing/pull/2203</t>
  </si>
  <si>
    <t>https://discuss.python.org/t/spec-change-inference-with-typevartuple/106394</t>
  </si>
  <si>
    <t>2026-04-15</t>
  </si>
  <si>
    <t>Spec change: ambiguous arguments in overload call evaluation</t>
  </si>
  <si>
    <t>https://github.com/python/typing-council/issues/56</t>
  </si>
  <si>
    <t>https://github.com/python/typing/pull/2250</t>
  </si>
  <si>
    <t>https://discuss.python.org/t/spec-change-ambiguous-arguments-in-overload-call-evaluation/106891</t>
  </si>
  <si>
    <t>2026-04-16</t>
  </si>
  <si>
    <t>Spec change: Allow type checkers to ignore specific error codes</t>
  </si>
  <si>
    <t>https://github.com/python/typing-council/issues/57</t>
  </si>
  <si>
    <t>https://github.com/python/typing/pull/2153</t>
  </si>
  <si>
    <t>https://discuss.python.org/t/allow-type-ignore-mypy-style-error-codes-in-conformance-tests/105433</t>
  </si>
  <si>
    <t>2026-04-17</t>
  </si>
  <si>
    <t>Spec change: explicitly permit (statically known) conditional fields in TypedDict, NamedTuple, Enum, and dataclasses</t>
  </si>
  <si>
    <t>https://github.com/python/typing-council/issues/58</t>
  </si>
  <si>
    <t>https://github.com/python/typing/pull/2263</t>
  </si>
  <si>
    <t>https://discuss.python.org/t/allowing-typeddict-items-to-be-defined-conditionally-via-statically-known-conditions/102973</t>
  </si>
  <si>
    <t>2026-04-23</t>
  </si>
  <si>
    <t>spec change: support variance on parameter specification and type variable tuple</t>
  </si>
  <si>
    <t>https://github.com/python/typing-council/issues/59</t>
  </si>
  <si>
    <t>https://github.com/python/typing/pull/2215</t>
  </si>
  <si>
    <t>2026-08-07</t>
  </si>
  <si>
    <t>Spec change: Do not require an error for a generic class attribute</t>
  </si>
  <si>
    <t>https://github.com/python/typing-council/issues/63</t>
  </si>
  <si>
    <t>https://github.com/python/typing/pull/2008</t>
  </si>
  <si>
    <t>https://discuss.python.org/t/spec-change-do-not-require-an-error-for-a-generic-class-attribute/108456</t>
  </si>
  <si>
    <t>2026-08-15</t>
  </si>
  <si>
    <t>Spec change: Update/clarify rules and tests for TypedDict unpacking into function call</t>
  </si>
  <si>
    <t>https://github.com/python/typing-council/issues/64</t>
  </si>
  <si>
    <t>https://github.com/python/typing/pull/2338</t>
  </si>
  <si>
    <t>https://discuss.python.org/t/spec-change-proposal-updating-clarifying-rules-for-unpacking-typeddicts-in-function-calls/108582</t>
  </si>
  <si>
    <t>2026-08-27</t>
  </si>
  <si>
    <t>Spec change: allow more precise gradual types than Any for ambiguous overload returns</t>
  </si>
  <si>
    <t>https://github.com/python/typing-council/issues/65</t>
  </si>
  <si>
    <t>https://github.com/python/typing/pull/2350</t>
  </si>
  <si>
    <t>https://discuss.python.org/t/permitting-more-precise-inferred-types-from-ambiguous-overloads/108776</t>
  </si>
  <si>
    <t>Straw Poll</t>
  </si>
  <si>
    <t>2018-11-15</t>
  </si>
  <si>
    <t>"Straw poll: Which governance proposals do you like best?" — non-binding sentiment poll across competing post-BDFL governance PEPs</t>
  </si>
  <si>
    <t>8011</t>
  </si>
  <si>
    <t>https://discuss.python.org/t/straw-poll-which-governance-proposals-do-you-like-best/436</t>
  </si>
  <si>
    <t>8012</t>
  </si>
  <si>
    <t>8013</t>
  </si>
  <si>
    <t>8014</t>
  </si>
  <si>
    <t>8015</t>
  </si>
  <si>
    <t>8016</t>
  </si>
  <si>
    <t>2018-12-17</t>
  </si>
  <si>
    <t>Governance vote: PEP 8016 "The Steering Council Model" selected as Python's post-BDFL governance model</t>
  </si>
  <si>
    <t>https://discuss.python.org/t/python-governance-vote-december-2018-results/546</t>
  </si>
  <si>
    <t>2019-10-05</t>
  </si>
  <si>
    <t>"PEP 13 and the number of votes" — discussion/vote on Steering Council ballot rules</t>
  </si>
  <si>
    <t>13</t>
  </si>
  <si>
    <t>https://discuss.python.org/t/pep-13-and-the-number-of-votes/2416</t>
  </si>
  <si>
    <t>2019-10-24</t>
  </si>
  <si>
    <t>Amendment to PEP 13 to allow approval voting for Steering Council elections</t>
  </si>
  <si>
    <t>https://discuss.python.org/t/amendment-to-pep-13-to-allow-approval-voting/2428</t>
  </si>
  <si>
    <t>2020-11-18</t>
  </si>
  <si>
    <t>"Gauging sentiment on pattern matching" — Steering Council straw poll on PEP 634</t>
  </si>
  <si>
    <t>634</t>
  </si>
  <si>
    <t>https://discuss.python.org/t/gauging-sentiment-on-pattern-matching/5770</t>
  </si>
  <si>
    <t>2021-02-09</t>
  </si>
  <si>
    <t>Steering Council accepts Pattern Matching PEPs 634/635/636; rejects PEPs 640 and 642</t>
  </si>
  <si>
    <t>https://mail.python.org/archives/list/python-committers@python.org/message/SQC2FTLFV5A7DV7RCEAR2I2IKJKGK7W3/</t>
  </si>
  <si>
    <t>635</t>
  </si>
  <si>
    <t>636</t>
  </si>
  <si>
    <t>640</t>
  </si>
  <si>
    <t>642</t>
  </si>
  <si>
    <t>2023-06-27</t>
  </si>
  <si>
    <t>Poll: core-dev feedback to the Steering Council on making CPython free-threaded</t>
  </si>
  <si>
    <t>703</t>
  </si>
  <si>
    <t>https://discuss.python.org/t/poll-feedback-to-the-sc-on-making-cpython-free-threaded-and-pep-703/28540</t>
  </si>
  <si>
    <t>2023-10-04</t>
  </si>
  <si>
    <t>PEP 729 "Typing governance process" — creation of the Typing Council discussed/endorsed</t>
  </si>
  <si>
    <t>729</t>
  </si>
  <si>
    <t>https://discuss.python.org/t/pep-729-typing-governance-process/35362</t>
  </si>
  <si>
    <t>2023-10-24</t>
  </si>
  <si>
    <t>PEP 703 (Making the GIL Optional in CPython) formally accepted by the Steering Council</t>
  </si>
  <si>
    <t>https://discuss.python.org/t/pep-703-making-the-global-interpreter-lock-optional-in-cpython-acceptance/37075</t>
  </si>
  <si>
    <t>2024-09-11</t>
  </si>
  <si>
    <t>"How to enact changes to PEP 13" — poll on adopting STAR voting for Steering Council elections</t>
  </si>
  <si>
    <t>https://discuss.python.org/t/how-to-enact-changes-to-pep-13/63636</t>
  </si>
  <si>
    <t>2024-09-25</t>
  </si>
  <si>
    <t>"Changing PEP 13 to adopt Bloc STAR voting" — formal poll to replace approval voting</t>
  </si>
  <si>
    <t>https://discuss.python.org/t/changing-pep-13-to-adopt-bloc-star-voting/64971</t>
  </si>
  <si>
    <t>2024-12-10</t>
  </si>
  <si>
    <t>PEP 13 amendment: added a one-week deadline for seconding a vote of no confidence in a Steering Council member</t>
  </si>
  <si>
    <t>https://discuss.python.org/t/72293/4</t>
  </si>
  <si>
    <t>772</t>
  </si>
  <si>
    <t>2025-08-25</t>
  </si>
  <si>
    <t>PyPA committer vote process finalized for PEP 772 (Packaging Council governance)</t>
  </si>
  <si>
    <t>https://discuss.python.org/t/pypa-committer-vote-process-for-pep-772/103309</t>
  </si>
  <si>
    <t>2025-10-28</t>
  </si>
  <si>
    <t>"[VOTE] Changing PEP 13 to clarify tiebreaking for SC elections" — formal committer vote (closed Nov 12, 2025)</t>
  </si>
  <si>
    <t>https://discuss.python.org/t/vote-changing-pep-13-to-clarify-tiebreaking-for-sc-elections/104607</t>
  </si>
  <si>
    <t>Steering Council formally accepts PEP 772, establishing the Python Packaging Council</t>
  </si>
  <si>
    <t>2026-08-23</t>
  </si>
  <si>
    <t>"Poll: Public/internal handling — what behavior do we want?" — Ideas-category poll shaping PEPs 842, 843 and 844</t>
  </si>
  <si>
    <t>https://discuss.python.org/t/poll-public-internal-handling-what-behavior-do-we-want/108706</t>
  </si>
  <si>
    <t>Has Vote</t>
  </si>
  <si>
    <t>Unanimous Consent</t>
  </si>
  <si>
    <t>Sign-Off</t>
  </si>
  <si>
    <t>Inferred</t>
  </si>
  <si>
    <t>Alternatives</t>
  </si>
  <si>
    <t>Notes</t>
  </si>
  <si>
    <t>Mentions "majority" rejects</t>
  </si>
  <si>
    <t>Mentions "large majority" but not unanimous</t>
  </si>
  <si>
    <t>Rejected due to lack of consensus even though majority supported</t>
  </si>
  <si>
    <t>Closed by default</t>
  </si>
  <si>
    <t>Still open</t>
  </si>
  <si>
    <t>8010</t>
  </si>
  <si>
    <t>Discussion</t>
  </si>
  <si>
    <t>PEP 8016</t>
  </si>
  <si>
    <t>PEP 8012</t>
  </si>
  <si>
    <t>PEP 8011</t>
  </si>
  <si>
    <t>PEP 8015</t>
  </si>
  <si>
    <t>PEP 8014</t>
  </si>
  <si>
    <t>PEP 8010</t>
  </si>
  <si>
    <t>PEP 8013</t>
  </si>
  <si>
    <t>-</t>
  </si>
  <si>
    <t>Option</t>
  </si>
  <si>
    <t>Abstain / Unexpressed Votes</t>
  </si>
  <si>
    <t>Approval Rate (%)</t>
  </si>
  <si>
    <t>Binary Status (&gt;50%)</t>
  </si>
  <si>
    <t>Yes (Approved)</t>
  </si>
  <si>
    <t>Total Expressed Votes</t>
  </si>
  <si>
    <t>Yes (Winner)</t>
  </si>
  <si>
    <t>Round 1</t>
  </si>
  <si>
    <t>Round 2</t>
  </si>
  <si>
    <t>Round 3</t>
  </si>
  <si>
    <t>Round 4</t>
  </si>
  <si>
    <t>Round 5</t>
  </si>
  <si>
    <t>Round 6</t>
  </si>
  <si>
    <t>Round 7</t>
  </si>
  <si>
    <t>Grouping</t>
  </si>
  <si>
    <t>Episode #</t>
  </si>
  <si>
    <t>634+640</t>
  </si>
  <si>
    <t>634+642</t>
  </si>
  <si>
    <t>I want pattern matching, but not as defined in those PEPs</t>
  </si>
  <si>
    <t>Conceptually, do you think we should be actively looking to make Python free-threaded?</t>
  </si>
  <si>
    <t>Do you want to accept and support the maintenance cost of PEP 703?</t>
  </si>
  <si>
    <t>Steering Council accepted</t>
  </si>
  <si>
    <t>13 - one week</t>
  </si>
  <si>
    <t>13 - two week</t>
  </si>
  <si>
    <t>https://mail.python.org/archives/list/pypa-committers@python.org/thread/YNZF25C45KPGZ2DVUOCQ7543B5OATSF6/</t>
  </si>
  <si>
    <t>https://discuss.python.org/t/pep-772-packaging-governance-process/79724
https://discuss.python.org/t/pep-772-packaging-council-governance-process-round-2/93904
https://discuss.python.org/t/pep-772-packaging-council-governance-process-round-3/100181</t>
  </si>
  <si>
    <t>Three rounds of discussion/revisions</t>
  </si>
  <si>
    <t>842-844</t>
  </si>
  <si>
    <t>Question</t>
  </si>
  <si>
    <t>Access to internal names: How should code outside a module access its internal symbols?</t>
  </si>
  <si>
    <t>Default visibility: Should names (e.g. declared functions) be</t>
  </si>
  <si>
    <t>Where/how should the public/internal distinction be declared?</t>
  </si>
  <si>
    <t>Should modules in the same package get direct access to each other’s internals?</t>
  </si>
  <si>
    <t>https://discuss.python.org/t/parameter-specifications-should-have-variance/106452</t>
  </si>
  <si>
    <t>https://discuss.python.org/t/pep-705-read-only-typeddict-items/37867/39</t>
  </si>
  <si>
    <t>https://discuss.python.org/t/treatment-of-final-attributes-in-dataclass-likes/47154</t>
  </si>
  <si>
    <t>https://discuss.python.org/t/revision-of-the-typeddict-spec/102675</t>
  </si>
  <si>
    <t>https://github.com/python/typing/issues/1558</t>
  </si>
  <si>
    <t>https://discuss.python.org/t/pep-772-packaging-council-governance-process-round-3/100181/118
https://discuss.python.org/t/pep-772-packaging-governance-process/79724
https://discuss.python.org/t/pep-772-packaging-council-governance-process-round-2/93904
https://discuss.python.org/t/pep-772-packaging-council-governance-process-round-3/100181</t>
  </si>
  <si>
    <t>Standard Deviation</t>
  </si>
  <si>
    <t>Do nothing is implied (degrees of freedom = 4, not 5)</t>
  </si>
  <si>
    <t>Do nothing is implied (degrees of freedom = 5, not 4)</t>
  </si>
  <si>
    <t>Subtopic</t>
  </si>
  <si>
    <t>Parent/Child</t>
  </si>
  <si>
    <t>Parent</t>
  </si>
  <si>
    <t>Child</t>
  </si>
  <si>
    <t>Where multiple voting options are transposed as multiple yes/no (binary) votes, one option must become the parent to correlate discussion valence and voting valence because of the intractability of pegging discussion comments to individual voting choices in the same thread. Instead one choice becomes the reference (parent) for all comments.  Example: Governance vote: PEP 8016 "The Steering Council Model" selected as Python's post-BDFL governance model. In this case, a rank-choice, minimax vote was converted to multiple rounds of binary votes. A minimax vote is essentially a simulated round robin of multiple binary votes condensed into rank choice. The data can be exploded into pairwise combinations of choices across multiple rounds with the top two constituting the final round (pair).  Each simulated "round" is just a new poll, and each poll/round requires a choice to be the reference or parent choice for the poll.</t>
  </si>
  <si>
    <t>Another example is Poll: core-dev feedback to the Steering Council on making CPython free-threaded. In this case, two distinct polls were given as dimensions (technical and cost) for the same proposal, but the polls were discussed in the same thread. There are two parent/reference choices (one for each poll) but one discussion thread.</t>
  </si>
  <si>
    <r>
      <t xml:space="preserve">For the valence correlation, the sample will be subsetted to include only the decision episode corresponding to a parent/reference choice.  This is because the correlation of valence or sentiment by definition assumes an individual is pegged to a particular choice. For example, in a discussion of multiple PEP choices on a single thread, pegging a comment to a specific PEP, such as PEP 8011, requires a more sophisticated algorithm than assuming that all comments refer to the same choice, such as PEP 8016, which ultimately survives all voting rounds.  If the choices are mutually exclusive, then a comment for PEP 8011 can be translated as a comment </t>
    </r>
    <r>
      <rPr>
        <i/>
        <sz val="11"/>
        <color theme="1"/>
        <rFont val="Calibri"/>
        <family val="2"/>
        <scheme val="minor"/>
      </rPr>
      <t xml:space="preserve">against </t>
    </r>
    <r>
      <rPr>
        <sz val="11"/>
        <color theme="1"/>
        <rFont val="Calibri"/>
        <family val="2"/>
        <scheme val="minor"/>
      </rPr>
      <t>PEP 8016. This also requires target-specific fine-tuning of BERT instead of using VADER, because VADER uses a fixed lexicon that is agnostic to context.</t>
    </r>
  </si>
  <si>
    <t>However, for the spread/SD correlation, the sample does not need to be subsetted, because this analysis is not correlating valence per se but the spread of valence.  We can compare the spread of comments coded on the basis of a primary proposal with the spread of voting results for alternative proposals, because we are simply measuring magnitude, not direction.</t>
  </si>
  <si>
    <t>https://discuss.python.org/t/proposed-initial-typing-spec/39389</t>
  </si>
  <si>
    <t>https://discuss.python.org/t/signed-values-in-literal-type/39919</t>
  </si>
  <si>
    <t>https://discuss.python.org/t/pep-742-narrowing-types-with-typeis/45613</t>
  </si>
  <si>
    <t>Procedure for counting alternative proposals: Counted either number of voting choices where explicit vote was taken (not unanimous consent) or counted number of rejected ideas in PEP.  "Do nothing" or "status quo" was only counted as an alternative proposal if explicitly presented as a voting option or rejected idea in the rationale.</t>
  </si>
  <si>
    <t>Number of participants</t>
  </si>
  <si>
    <t>Number of comments</t>
  </si>
  <si>
    <t>PEP 634</t>
  </si>
  <si>
    <t>PEP 772</t>
  </si>
  <si>
    <t>One-week deadline</t>
  </si>
  <si>
    <t>Through the same interface as public symbols, e.g. module.internal_name (current approach)</t>
  </si>
  <si>
    <t>Internal-by-default, with public names explicitly marked</t>
  </si>
  <si>
    <t>Locally next to the definitions</t>
  </si>
  <si>
    <t>Yes, same-package modules can directly access each other’s internals</t>
  </si>
  <si>
    <t>Accept PEP 634 as-is</t>
  </si>
  <si>
    <t>Accept PEP 634 + 640</t>
  </si>
  <si>
    <t>Accept PEP 634 + 642</t>
  </si>
  <si>
    <t>PEP 635</t>
  </si>
  <si>
    <t>PEP 636</t>
  </si>
  <si>
    <t>PEP 640</t>
  </si>
  <si>
    <t>PEP 642</t>
  </si>
  <si>
    <t>One week deadline</t>
  </si>
  <si>
    <t>Two week deadline</t>
  </si>
  <si>
    <t>Choice</t>
  </si>
  <si>
    <t>Internal symbols should not be externally accessible</t>
  </si>
  <si>
    <t>Other</t>
  </si>
  <si>
    <t>No preference</t>
  </si>
  <si>
    <t>Public-by-default, with internal names explicitly marked</t>
  </si>
  <si>
    <t>Internal-by-default and public-by-default should both be possible, configurable per module</t>
  </si>
  <si>
    <t>Neither: every name explicitly classified</t>
  </si>
  <si>
    <t>Both central and local declarations can be mixed</t>
  </si>
  <si>
    <t>Centrally at the top of the module</t>
  </si>
  <si>
    <t>Configurable per module</t>
  </si>
  <si>
    <t>No, internals should be module-level scoped. Other same-package modules will need to go through the same opt-in mechanism for internal access just like any other external code</t>
  </si>
  <si>
    <t>Introduce a separate package-internal visibility level, distinct from public and module-internal</t>
  </si>
  <si>
    <t>Row Labels</t>
  </si>
  <si>
    <t>Grand Total</t>
  </si>
  <si>
    <t>Sum of Episode #</t>
  </si>
  <si>
    <t>Count of Episode #2</t>
  </si>
  <si>
    <t>Add control variable for expanded decision episodes (1/0).</t>
  </si>
  <si>
    <t>Preliminary analysis: Proposals with explicit alternatives better reflect the spread anticipated in the discussion. A unanimous vote on a proposal with no explicit alternatives naively conceals the debate leading up to the vote.  Making alternatives explicit forces the vote to reflect the discussion spread.  Mathematically, increasing the cardinality of voting choices is going to increase the voting spread, which, in turn, increases the correlation with discussion spread if it is already moderate or high.</t>
  </si>
  <si>
    <t>https://discuss.python.org/t/pep-8010-the-singular-leader/188</t>
  </si>
  <si>
    <t>https://discuss.python.org/t/pep-8011-leadership-by-trio-of-pythonistas-top-or-simply-trio/199</t>
  </si>
  <si>
    <t>https://discuss.python.org/t/pep-8012-the-community-model/156</t>
  </si>
  <si>
    <t>https://discuss.python.org/t/pep-8013-the-external-council-governance-model/181</t>
  </si>
  <si>
    <t>https://discuss.python.org/t/pep-8014-the-commons-model/173</t>
  </si>
  <si>
    <t>https://discuss.python.org/t/pep-8015-organization-of-the-python-community/193</t>
  </si>
  <si>
    <t>https://discuss.python.org/t/pep-8016-the-steering-council-model/394</t>
  </si>
  <si>
    <t>Target</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</si>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</sst>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0"/>
      <color theme="1"/>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0" fillId="0" borderId="0" xfId="0" quotePrefix="1"/>
    <xf numFmtId="0" fontId="0" fillId="0" borderId="0" xfId="0" applyAlignment="1">
      <alignment wrapText="1"/>
    </xf>
    <xf numFmtId="0" fontId="2" fillId="0" borderId="0" xfId="0" applyFont="1"/>
    <xf numFmtId="10" fontId="2" fillId="0" borderId="0" xfId="0" applyNumberFormat="1" applyFont="1"/>
    <xf numFmtId="0" fontId="1" fillId="0" borderId="0" xfId="1" applyAlignment="1">
      <alignment wrapText="1"/>
    </xf>
    <xf numFmtId="0" fontId="0" fillId="0" borderId="0" xfId="0" pivotButton="1"/>
    <xf numFmtId="0" fontId="0" fillId="0" borderId="0" xfId="0" applyAlignment="1">
      <alignment horizontal="left"/>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eeter, Michael" refreshedDate="46302.800897569447" createdVersion="8" refreshedVersion="8" minRefreshableVersion="3" recordCount="130" xr:uid="{38C5ACA3-144B-5347-8948-3F370D3A7CBD}">
  <cacheSource type="worksheet">
    <worksheetSource ref="A1:Y131" sheet="data"/>
  </cacheSource>
  <cacheFields count="24">
    <cacheField name="Episode #" numFmtId="0">
      <sharedItems containsSemiMixedTypes="0" containsString="0" containsNumber="1" containsInteger="1" minValue="1" maxValue="130"/>
    </cacheField>
    <cacheField name="Grouping" numFmtId="0">
      <sharedItems containsBlank="1"/>
    </cacheField>
    <cacheField name="Issue #" numFmtId="0">
      <sharedItems containsBlank="1" containsMixedTypes="1" containsNumber="1" containsInteger="1" minValue="3" maxValue="65"/>
    </cacheField>
    <cacheField name="Date" numFmtId="0">
      <sharedItems containsBlank="1"/>
    </cacheField>
    <cacheField name="Topic / Proposal Title" numFmtId="0">
      <sharedItems/>
    </cacheField>
    <cacheField name="Subtopic" numFmtId="0">
      <sharedItems containsNonDate="0" containsString="0" containsBlank="1"/>
    </cacheField>
    <cacheField name="Parent/Child" numFmtId="0">
      <sharedItems count="2">
        <s v="Parent"/>
        <s v="Child"/>
      </sharedItems>
    </cacheField>
    <cacheField name="PEP #" numFmtId="0">
      <sharedItems containsMixedTypes="1" containsNumber="1" containsInteger="1" minValue="591" maxValue="800"/>
    </cacheField>
    <cacheField name="Choice" numFmtId="0">
      <sharedItems containsBlank="1"/>
    </cacheField>
    <cacheField name="Question" numFmtId="0">
      <sharedItems containsBlank="1"/>
    </cacheField>
    <cacheField name="Vote Link" numFmtId="0">
      <sharedItems/>
    </cacheField>
    <cacheField name="Discussion" numFmtId="0">
      <sharedItems count="65" longText="1">
        <s v="https://discuss.python.org/t/proposed-initial-typing-spec/39389"/>
        <s v="https://github.com/python/typing/issues/1558"/>
        <s v="https://discuss.python.org/t/signed-values-in-literal-type/39919"/>
        <s v="https://discuss.python.org/t/rejecting-the-use-of-a-covariant-contravariant-typevar-in-a-function-or-type-alias/42769/4"/>
        <s v="https://discuss.python.org/t/newlines-within-triple-quoted-type-expressions/42833"/>
        <s v="https://discuss.python.org/t/pep-724-stricter-type-guards/34124"/>
        <s v="https://discuss.python.org/t/draft-of-typing-spec-chapter-for-enums/43496/9"/>
        <s v="https://discuss.python.org/t/pep-696-type-defaults-for-typevarlikes/22569/6"/>
        <s v="https://discuss.python.org/t/draft-of-typing-spec-chapter-for-tuples/43701"/>
        <s v="https://discuss.python.org/t/pep-705-read-only-typeddict-items/37867/39"/>
        <s v="https://discuss.python.org/t/no-type-check-decorator/43119"/>
        <s v="https://discuss.python.org/t/draft-of-typing-spec-chapter-for-named-tuples/44519"/>
        <s v="https://discuss.python.org/t/is-annotated-compatible-with-type-t/43898"/>
        <s v="https://discuss.python.org/t/ambiguities-about-positional-only-parameters/42328"/>
        <s v="https://discuss.python.org/t/compatibility-between-typeguard-and-bool/46364."/>
        <s v="https://discuss.python.org/t/pep-742-narrowing-types-with-typeis/45613"/>
        <s v="https://discuss.python.org/t/pep-728-typeddict-with-typed-extra-items/45443/1"/>
        <s v="https://discuss.python.org/t/treatment-of-final-attributes-in-dataclass-likes/47154"/>
        <s v="https://discuss.python.org/t/draft-typing-spec-chapter-for-constructors/49744/17"/>
        <s v="https://discuss.python.org/t/basic-terminology-for-types-and-type-forms/46741."/>
        <s v="https://discuss.python.org/t/draft-of-typing-spec-chapter-for-exceptions/51002"/>
        <s v="https://discuss.python.org/t/expanded-typing-spec-chapter-for-callables/51486"/>
        <s v="https://discuss.python.org/t/pep-561-s-module-resolution-order-seems-incorrect/55048"/>
        <s v="https://discuss.python.org/t/formalizing-core-definitions-in-the-typing-spec/54785"/>
        <s v="https://discuss.python.org/t/proposed-spec-changes-for-annotated/55807"/>
        <s v="https://discuss.python.org/t/discuss-adding-converter-to-dataclass-transform/55125"/>
        <s v="https://discuss.python.org/t/merging-the-type-stubs-doc-into-the-rest-of-the-typing-documentation/58853"/>
        <s v="https://discuss.python.org/t/specs-clarification-type-a-b-is-equivalent-the-same-as-type-a-type-b/60912"/>
        <s v="https://discuss.python.org/t/can-a-non-readonly-item-in-a-typeddict-be-redeclared-as-readonly/65082"/>
        <s v="https://discuss.python.org/t/clarifying-the-rules-for-subclassing-generic-classes/69698"/>
        <s v="https://discuss.python.org/t/72880"/>
        <s v="https://discuss.python.org/t/draft-typing-spec-chapter-for-overloads/60788"/>
        <s v="https://discuss.python.org/t/81705/9"/>
        <s v="https://discuss.python.org/t/pep-747-typeexpr-type-hint-for-a-type-expression/55984"/>
        <s v="https://discuss.python.org/t/specify-that-assert-type-checks-for-equivalence/92967"/>
        <s v="https://discuss.python.org/t/clarifying-the-float-int-complex-special-case/54018/30"/>
        <s v="https://discuss.python.org/t/adding-namedtuple-member-naming-rules-to-the-typing-spec/88882"/>
        <s v="https://discuss.python.org/t/revision-of-the-typeddict-spec/102675"/>
        <s v="https://discuss.python.org/t/pep-800-solid-bases-in-the-type-system/99910"/>
        <s v="https://discuss.python.org/t/spec-change-clarify-that-tuple-should-not-be-prohibited-as-an-argument-to-type/105590"/>
        <s v="https://discuss.python.org/t/annotation-string-references-in-class-scope-in-conformance-tests/105439"/>
        <s v="https://discuss.python.org/t/disallow-access-to-class-variables-with-self/105434"/>
        <s v="https://discuss.python.org/t/spec-change-inference-with-typevartuple/106394"/>
        <s v="https://discuss.python.org/t/spec-change-ambiguous-arguments-in-overload-call-evaluation/106891"/>
        <s v="https://discuss.python.org/t/allow-type-ignore-mypy-style-error-codes-in-conformance-tests/105433"/>
        <s v="https://discuss.python.org/t/allowing-typeddict-items-to-be-defined-conditionally-via-statically-known-conditions/102973"/>
        <s v="https://discuss.python.org/t/parameter-specifications-should-have-variance/106452"/>
        <s v="https://discuss.python.org/t/spec-change-do-not-require-an-error-for-a-generic-class-attribute/108456"/>
        <s v="https://discuss.python.org/t/spec-change-proposal-updating-clarifying-rules-for-unpacking-typeddicts-in-function-calls/108582"/>
        <s v="https://discuss.python.org/t/permitting-more-precise-inferred-types-from-ambiguous-overloads/108776"/>
        <s v="https://discuss.python.org/t/straw-poll-which-governance-proposals-do-you-like-best/436"/>
        <s v="https://discuss.python.org/t/python-governance-vote-december-2018-results/546"/>
        <s v="https://discuss.python.org/t/pep-13-and-the-number-of-votes/2416"/>
        <s v="https://discuss.python.org/t/amendment-to-pep-13-to-allow-approval-voting/2428"/>
        <s v="https://discuss.python.org/t/gauging-sentiment-on-pattern-matching/5770"/>
        <s v="https://discuss.python.org/t/poll-feedback-to-the-sc-on-making-cpython-free-threaded-and-pep-703/28540"/>
        <s v="https://discuss.python.org/t/pep-729-typing-governance-process/35362"/>
        <s v="https://discuss.python.org/t/pep-703-making-the-global-interpreter-lock-optional-in-cpython-acceptance/37075"/>
        <s v="https://discuss.python.org/t/how-to-enact-changes-to-pep-13/63636"/>
        <s v="https://discuss.python.org/t/changing-pep-13-to-adopt-bloc-star-voting/64971"/>
        <s v="https://discuss.python.org/t/72293/4"/>
        <s v="https://discuss.python.org/t/pypa-committer-vote-process-for-pep-772/103309"/>
        <s v="https://discuss.python.org/t/vote-changing-pep-13-to-clarify-tiebreaking-for-sc-elections/104607"/>
        <s v="https://discuss.python.org/t/pep-772-packaging-council-governance-process-round-3/100181/118_x000a_https://discuss.python.org/t/pep-772-packaging-governance-process/79724_x000a_https://discuss.python.org/t/pep-772-packaging-council-governance-process-round-2/93904_x000a_https://discuss.python.org/t/pep-772-packaging-council-governance-process-round-3/100181"/>
        <s v="https://discuss.python.org/t/poll-public-internal-handling-what-behavior-do-we-want/108706"/>
      </sharedItems>
    </cacheField>
    <cacheField name="Alternatives" numFmtId="0">
      <sharedItems containsSemiMixedTypes="0" containsString="0" containsNumber="1" containsInteger="1" minValue="0" maxValue="7"/>
    </cacheField>
    <cacheField name="Number of participants" numFmtId="0">
      <sharedItems containsNonDate="0" containsString="0" containsBlank="1"/>
    </cacheField>
    <cacheField name="Number of comments" numFmtId="0">
      <sharedItems containsNonDate="0" containsString="0" containsBlank="1"/>
    </cacheField>
    <cacheField name="Has Vote" numFmtId="0">
      <sharedItems containsSemiMixedTypes="0" containsString="0" containsNumber="1" containsInteger="1" minValue="1" maxValue="1"/>
    </cacheField>
    <cacheField name="Yes Votes" numFmtId="0">
      <sharedItems containsSemiMixedTypes="0" containsString="0" containsNumber="1" containsInteger="1" minValue="0" maxValue="57"/>
    </cacheField>
    <cacheField name="No Votes" numFmtId="0">
      <sharedItems containsSemiMixedTypes="0" containsString="0" containsNumber="1" containsInteger="1" minValue="0" maxValue="92"/>
    </cacheField>
    <cacheField name="Abstain Votes" numFmtId="0">
      <sharedItems containsSemiMixedTypes="0" containsString="0" containsNumber="1" containsInteger="1" minValue="0" maxValue="40"/>
    </cacheField>
    <cacheField name="Standard Deviation" numFmtId="0">
      <sharedItems containsSemiMixedTypes="0" containsString="0" containsNumber="1" minValue="0" maxValue="0.99978296255848564"/>
    </cacheField>
    <cacheField name="Notes" numFmtId="0">
      <sharedItems containsBlank="1"/>
    </cacheField>
    <cacheField name="Draft / Text Link (PR)" numFmtId="0">
      <sharedItems containsBlank="1"/>
    </cacheField>
    <cacheField name="Voting Method" numFmtId="0">
      <sharedItems containsBlank="1"/>
    </cacheField>
    <cacheField name="Tally Meth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n v="1"/>
    <m/>
    <n v="3"/>
    <s v="2023-11-29"/>
    <s v="Adopt the initial Python typing spec"/>
    <m/>
    <x v="0"/>
    <s v="N/A"/>
    <m/>
    <m/>
    <s v="https://github.com/python/typing-council/issues/3"/>
    <x v="0"/>
    <n v="0"/>
    <m/>
    <m/>
    <n v="1"/>
    <n v="5"/>
    <n v="0"/>
    <n v="0"/>
    <n v="0"/>
    <m/>
    <s v="https://github.com/python/typing/pull/1517"/>
    <s v="Checkbox Sign-off"/>
    <s v="Unanimous Consent"/>
  </r>
  <r>
    <n v="2"/>
    <m/>
    <n v="5"/>
    <s v="2024-01-10"/>
    <s v="Allow `NoReturn` to appear outside of function return type annotations"/>
    <m/>
    <x v="0"/>
    <s v="N/A"/>
    <m/>
    <m/>
    <s v="https://github.com/python/typing-council/issues/5"/>
    <x v="1"/>
    <n v="0"/>
    <m/>
    <m/>
    <n v="1"/>
    <n v="5"/>
    <n v="0"/>
    <n v="0"/>
    <n v="0"/>
    <m/>
    <s v="https://github.com/python/typing/pull/1570"/>
    <s v="Checkbox Sign-off"/>
    <s v="Unanimous Consent"/>
  </r>
  <r>
    <n v="3"/>
    <m/>
    <n v="7"/>
    <s v="2024-01-12"/>
    <s v="Allow unary + in Literal integers"/>
    <m/>
    <x v="0"/>
    <s v="N/A"/>
    <m/>
    <m/>
    <s v="https://github.com/python/typing-council/issues/7"/>
    <x v="2"/>
    <n v="0"/>
    <m/>
    <m/>
    <n v="1"/>
    <n v="5"/>
    <n v="0"/>
    <n v="0"/>
    <n v="0"/>
    <m/>
    <s v="N/A (No PR linked)"/>
    <s v="Checkbox Sign-off"/>
    <s v="Unanimous Consent"/>
  </r>
  <r>
    <n v="4"/>
    <m/>
    <n v="8"/>
    <s v="2024-01-12"/>
    <s v="Do not reject use of covariant or contravariant TypeVars in a function"/>
    <m/>
    <x v="0"/>
    <s v="N/A"/>
    <m/>
    <m/>
    <s v="https://github.com/python/typing-council/issues/8"/>
    <x v="3"/>
    <n v="0"/>
    <m/>
    <m/>
    <n v="1"/>
    <n v="5"/>
    <n v="0"/>
    <n v="0"/>
    <n v="0"/>
    <m/>
    <s v="https://github.com/python/typing/pull/1576"/>
    <s v="Checkbox Sign-off"/>
    <s v="Sign-Off"/>
  </r>
  <r>
    <n v="5"/>
    <m/>
    <n v="9"/>
    <s v="2024-01-13"/>
    <s v="Treat triple-quoted type annotation expressions as implicitly parenthesized"/>
    <m/>
    <x v="0"/>
    <s v="N/A"/>
    <m/>
    <m/>
    <s v="https://github.com/python/typing-council/issues/9"/>
    <x v="4"/>
    <n v="0"/>
    <m/>
    <m/>
    <n v="1"/>
    <n v="5"/>
    <n v="0"/>
    <n v="0"/>
    <n v="0"/>
    <m/>
    <s v="https://github.com/python/typing/pull/1578"/>
    <s v="Checkbox Sign-off"/>
    <s v="Sign-Off"/>
  </r>
  <r>
    <n v="6"/>
    <m/>
    <n v="10"/>
    <s v="2024-01-16"/>
    <s v="Pep 724 - Formal request to accept"/>
    <m/>
    <x v="0"/>
    <n v="724"/>
    <m/>
    <m/>
    <s v="https://github.com/python/typing-council/issues/10"/>
    <x v="5"/>
    <n v="1"/>
    <m/>
    <m/>
    <n v="1"/>
    <n v="2"/>
    <n v="3"/>
    <n v="0"/>
    <n v="0.9797958971132712"/>
    <s v="Mentions &quot;majority&quot; rejects"/>
    <s v="N/A (No PR linked)"/>
    <s v="Checkbox Sign-off"/>
    <s v="Inferred"/>
  </r>
  <r>
    <n v="7"/>
    <m/>
    <n v="11"/>
    <s v="2024-01-20"/>
    <s v="Typing spec update for enumerations"/>
    <m/>
    <x v="0"/>
    <s v="N/A"/>
    <m/>
    <m/>
    <s v="https://github.com/python/typing-council/issues/11"/>
    <x v="6"/>
    <n v="0"/>
    <m/>
    <m/>
    <n v="1"/>
    <n v="5"/>
    <n v="0"/>
    <n v="0"/>
    <n v="0"/>
    <m/>
    <s v="https://github.com/python/typing/pull/1591"/>
    <s v="Checkbox Sign-off"/>
    <s v="Sign-Off"/>
  </r>
  <r>
    <n v="8"/>
    <m/>
    <n v="12"/>
    <s v="2024-01-24"/>
    <s v="PEP 696"/>
    <m/>
    <x v="0"/>
    <n v="696"/>
    <m/>
    <m/>
    <s v="https://github.com/python/typing-council/issues/12"/>
    <x v="7"/>
    <n v="5"/>
    <m/>
    <m/>
    <n v="1"/>
    <n v="5"/>
    <n v="0"/>
    <n v="0"/>
    <n v="0"/>
    <m/>
    <s v="N/A (No PR linked)"/>
    <s v="Checkbox Sign-off"/>
    <s v="Unanimous Consent"/>
  </r>
  <r>
    <n v="9"/>
    <m/>
    <n v="13"/>
    <s v="2024-01-24"/>
    <s v="Typing spec update for tuples"/>
    <m/>
    <x v="0"/>
    <s v="N/A"/>
    <m/>
    <m/>
    <s v="https://github.com/python/typing-council/issues/13"/>
    <x v="8"/>
    <n v="0"/>
    <m/>
    <m/>
    <n v="1"/>
    <n v="5"/>
    <n v="0"/>
    <n v="0"/>
    <n v="0"/>
    <m/>
    <s v="https://github.com/python/typing/pull/1599"/>
    <s v="Checkbox Sign-off"/>
    <s v="Sign-Off"/>
  </r>
  <r>
    <n v="10"/>
    <m/>
    <n v="14"/>
    <s v="2024-02-01"/>
    <s v="Decision on PEP 705"/>
    <m/>
    <x v="0"/>
    <n v="705"/>
    <m/>
    <m/>
    <s v="https://github.com/python/typing-council/issues/14"/>
    <x v="9"/>
    <n v="7"/>
    <m/>
    <m/>
    <n v="1"/>
    <n v="5"/>
    <n v="0"/>
    <n v="0"/>
    <n v="0"/>
    <m/>
    <s v="N/A (No PR linked)"/>
    <s v="Checkbox Sign-off"/>
    <s v="Unanimous Consent"/>
  </r>
  <r>
    <n v="11"/>
    <m/>
    <n v="16"/>
    <s v="2024-02-03"/>
    <s v="`@no_type_check` decorator"/>
    <m/>
    <x v="0"/>
    <s v="N/A"/>
    <m/>
    <m/>
    <s v="https://github.com/python/typing-council/issues/16"/>
    <x v="10"/>
    <n v="0"/>
    <m/>
    <m/>
    <n v="1"/>
    <n v="5"/>
    <n v="0"/>
    <n v="0"/>
    <n v="0"/>
    <m/>
    <s v="https://github.com/python/typing/pull/1615"/>
    <s v="Checkbox Sign-off"/>
    <s v="Sign-Off"/>
  </r>
  <r>
    <n v="12"/>
    <m/>
    <n v="17"/>
    <s v="2024-02-03"/>
    <s v="Typing spec update for named tuples"/>
    <m/>
    <x v="0"/>
    <s v="N/A"/>
    <m/>
    <m/>
    <s v="https://github.com/python/typing-council/issues/17"/>
    <x v="11"/>
    <n v="0"/>
    <m/>
    <m/>
    <n v="1"/>
    <n v="5"/>
    <n v="0"/>
    <n v="0"/>
    <n v="0"/>
    <m/>
    <s v="https://github.com/python/typing/pull/1614"/>
    <s v="Checkbox Sign-off"/>
    <s v="Sign-Off"/>
  </r>
  <r>
    <n v="13"/>
    <m/>
    <n v="18"/>
    <s v="2024-02-10"/>
    <s v="Typing spec change for `Annotated` special form"/>
    <m/>
    <x v="0"/>
    <s v="N/A"/>
    <m/>
    <m/>
    <s v="https://github.com/python/typing-council/issues/18"/>
    <x v="12"/>
    <n v="0"/>
    <m/>
    <m/>
    <n v="1"/>
    <n v="5"/>
    <n v="0"/>
    <n v="0"/>
    <n v="0"/>
    <m/>
    <s v="https://github.com/python/typing/pull/1618"/>
    <s v="Checkbox Sign-off"/>
    <s v="Sign-Off"/>
  </r>
  <r>
    <n v="14"/>
    <m/>
    <n v="19"/>
    <s v="2024-02-11"/>
    <s v="Clarification on pre-3.8 way to specify positional-only parameters"/>
    <m/>
    <x v="0"/>
    <s v="N/A"/>
    <m/>
    <m/>
    <s v="https://github.com/python/typing-council/issues/19"/>
    <x v="13"/>
    <n v="0"/>
    <m/>
    <m/>
    <n v="1"/>
    <n v="5"/>
    <n v="0"/>
    <n v="0"/>
    <n v="0"/>
    <m/>
    <s v="https://github.com/python/typing/pull/1619"/>
    <s v="Checkbox Sign-off"/>
    <s v="Sign-Off"/>
  </r>
  <r>
    <n v="15"/>
    <m/>
    <n v="20"/>
    <s v="2024-02-21"/>
    <s v="Typing spec change: TypeGuard/bool compatibility"/>
    <m/>
    <x v="0"/>
    <s v="N/A"/>
    <m/>
    <m/>
    <s v="https://github.com/python/typing-council/issues/20"/>
    <x v="14"/>
    <n v="0"/>
    <m/>
    <m/>
    <n v="1"/>
    <n v="5"/>
    <n v="0"/>
    <n v="0"/>
    <n v="0"/>
    <m/>
    <s v="https://github.com/python/typing/pull/1637"/>
    <s v="Checkbox Sign-off"/>
    <s v="Sign-Off"/>
  </r>
  <r>
    <n v="16"/>
    <m/>
    <n v="21"/>
    <s v="2024-03-08"/>
    <s v="PEP 742: Narrowing types with TypeIs"/>
    <m/>
    <x v="0"/>
    <n v="742"/>
    <m/>
    <m/>
    <s v="https://github.com/python/typing-council/issues/21"/>
    <x v="15"/>
    <n v="3"/>
    <m/>
    <m/>
    <n v="1"/>
    <n v="4"/>
    <n v="1"/>
    <n v="0"/>
    <n v="0.8"/>
    <s v="Mentions &quot;large majority&quot; but not unanimous"/>
    <s v="N/A (No PR linked)"/>
    <s v="Checkbox Sign-off"/>
    <s v="Inferred"/>
  </r>
  <r>
    <n v="17"/>
    <m/>
    <n v="22"/>
    <s v="2024-03-14"/>
    <s v="PEP 728: TypedDict with Typed Extra Items"/>
    <m/>
    <x v="0"/>
    <n v="728"/>
    <m/>
    <m/>
    <s v="https://github.com/python/typing-council/issues/22"/>
    <x v="16"/>
    <n v="6"/>
    <m/>
    <m/>
    <n v="1"/>
    <n v="5"/>
    <n v="0"/>
    <n v="0"/>
    <n v="0"/>
    <m/>
    <s v="N/A (No PR linked)"/>
    <s v="Checkbox Sign-off"/>
    <s v="Unanimous Consent"/>
  </r>
  <r>
    <n v="18"/>
    <m/>
    <n v="24"/>
    <s v="2024-04-03"/>
    <s v="Typing spec update for Final and dataclasses"/>
    <m/>
    <x v="0"/>
    <s v="N/A"/>
    <m/>
    <m/>
    <s v="https://github.com/python/typing-council/issues/24"/>
    <x v="17"/>
    <n v="0"/>
    <m/>
    <m/>
    <n v="1"/>
    <n v="5"/>
    <n v="0"/>
    <n v="0"/>
    <n v="0"/>
    <m/>
    <s v="https://github.com/python/typing/pull/1669"/>
    <s v="Checkbox Sign-off"/>
    <s v="Sign-Off"/>
  </r>
  <r>
    <n v="19"/>
    <m/>
    <n v="25"/>
    <s v="2024-04-05"/>
    <s v="Typing spec update for constructors"/>
    <m/>
    <x v="0"/>
    <s v="N/A"/>
    <m/>
    <m/>
    <s v="https://github.com/python/typing-council/issues/25"/>
    <x v="18"/>
    <n v="0"/>
    <m/>
    <m/>
    <n v="1"/>
    <n v="5"/>
    <n v="0"/>
    <n v="0"/>
    <n v="0"/>
    <m/>
    <s v="https://github.com/python/typing/pull/1667"/>
    <s v="Checkbox Sign-off"/>
    <s v="Sign-Off"/>
  </r>
  <r>
    <n v="20"/>
    <m/>
    <n v="26"/>
    <s v="2024-04-08"/>
    <s v="Typing spec update for defining &quot;type expression&quot; and other terms"/>
    <m/>
    <x v="0"/>
    <s v="N/A"/>
    <m/>
    <m/>
    <s v="https://github.com/python/typing-council/issues/26"/>
    <x v="19"/>
    <n v="0"/>
    <m/>
    <m/>
    <n v="1"/>
    <n v="5"/>
    <n v="0"/>
    <n v="0"/>
    <n v="0"/>
    <m/>
    <s v="N/A (No PR linked)"/>
    <s v="Checkbox Sign-off"/>
    <s v="Sign-Off"/>
  </r>
  <r>
    <n v="21"/>
    <m/>
    <n v="27"/>
    <s v="2024-04-20"/>
    <s v="Typing spec update for exceptions / context managers"/>
    <m/>
    <x v="0"/>
    <s v="N/A"/>
    <m/>
    <m/>
    <s v="https://github.com/python/typing-council/issues/27"/>
    <x v="20"/>
    <n v="0"/>
    <m/>
    <m/>
    <n v="1"/>
    <n v="5"/>
    <n v="0"/>
    <n v="0"/>
    <n v="0"/>
    <m/>
    <s v="https://github.com/python/typing/pull/1718"/>
    <s v="Checkbox Sign-off"/>
    <s v="Sign-Off"/>
  </r>
  <r>
    <n v="22"/>
    <m/>
    <n v="28"/>
    <s v="2024-05-04"/>
    <s v="Typing spec update for callables"/>
    <m/>
    <x v="0"/>
    <s v="N/A"/>
    <m/>
    <m/>
    <s v="https://github.com/python/typing-council/issues/28"/>
    <x v="21"/>
    <n v="0"/>
    <m/>
    <m/>
    <n v="1"/>
    <n v="5"/>
    <n v="0"/>
    <n v="0"/>
    <n v="0"/>
    <m/>
    <s v="https://github.com/python/typing/pull/1723"/>
    <s v="Checkbox Sign-off"/>
    <s v="Sign-Off"/>
  </r>
  <r>
    <n v="23"/>
    <m/>
    <n v="30"/>
    <s v="2024-06-11"/>
    <s v="Typing spec update revising typeshed's position in the module resolution order"/>
    <m/>
    <x v="0"/>
    <s v="N/A"/>
    <m/>
    <m/>
    <s v="https://github.com/python/typing-council/issues/30"/>
    <x v="22"/>
    <n v="0"/>
    <m/>
    <m/>
    <n v="1"/>
    <n v="5"/>
    <n v="0"/>
    <n v="0"/>
    <n v="0"/>
    <m/>
    <s v="https://github.com/python/typing/pull/1772"/>
    <s v="Checkbox Sign-off"/>
    <s v="Sign-Off"/>
  </r>
  <r>
    <n v="24"/>
    <m/>
    <n v="31"/>
    <s v="2024-06-17"/>
    <s v="Typing spec update: core concepts and definitions"/>
    <m/>
    <x v="0"/>
    <s v="N/A"/>
    <m/>
    <m/>
    <s v="https://github.com/python/typing-council/issues/31"/>
    <x v="23"/>
    <n v="0"/>
    <m/>
    <m/>
    <n v="1"/>
    <n v="5"/>
    <n v="0"/>
    <n v="0"/>
    <n v="0"/>
    <m/>
    <s v="https://github.com/python/typing/pull/1743"/>
    <s v="Checkbox Sign-off"/>
    <s v="Sign-Off"/>
  </r>
  <r>
    <n v="25"/>
    <m/>
    <n v="32"/>
    <s v="2024-06-18"/>
    <s v="Typing spec update: Improve spec for Annotated"/>
    <m/>
    <x v="0"/>
    <s v="N/A"/>
    <m/>
    <m/>
    <s v="https://github.com/python/typing-council/issues/32"/>
    <x v="24"/>
    <n v="0"/>
    <m/>
    <m/>
    <n v="1"/>
    <n v="5"/>
    <n v="0"/>
    <n v="0"/>
    <n v="0"/>
    <m/>
    <s v="N/A (No PR linked)"/>
    <s v="Checkbox Sign-off"/>
    <s v="Sign-Off"/>
  </r>
  <r>
    <n v="26"/>
    <m/>
    <n v="33"/>
    <s v="2024-06-21"/>
    <s v="Typing spec update: PEP 712 `converter` in `dataclasses` Field spec params"/>
    <m/>
    <x v="0"/>
    <n v="712"/>
    <m/>
    <m/>
    <s v="https://github.com/python/typing-council/issues/33"/>
    <x v="25"/>
    <n v="0"/>
    <m/>
    <m/>
    <n v="1"/>
    <n v="5"/>
    <n v="0"/>
    <n v="0"/>
    <n v="0"/>
    <m/>
    <s v="https://github.com/python/typing/pull/1783"/>
    <s v="Checkbox Sign-off"/>
    <s v="Sign-Off"/>
  </r>
  <r>
    <n v="27"/>
    <m/>
    <n v="34"/>
    <s v="2024-08-17"/>
    <s v="Typing spec update: syntax and supported constructs for stub files"/>
    <m/>
    <x v="0"/>
    <s v="N/A"/>
    <m/>
    <m/>
    <s v="https://github.com/python/typing-council/issues/34"/>
    <x v="26"/>
    <n v="0"/>
    <m/>
    <m/>
    <n v="1"/>
    <n v="5"/>
    <n v="0"/>
    <n v="0"/>
    <n v="0"/>
    <m/>
    <s v="https://github.com/python/typing/pull/1815"/>
    <s v="Checkbox Sign-off"/>
    <s v="Sign-Off"/>
  </r>
  <r>
    <n v="28"/>
    <m/>
    <n v="35"/>
    <s v="2024-08-22"/>
    <s v="Typing spec update: `type[]` distributes over unions"/>
    <m/>
    <x v="0"/>
    <s v="N/A"/>
    <m/>
    <m/>
    <s v="https://github.com/python/typing-council/issues/35"/>
    <x v="27"/>
    <n v="0"/>
    <m/>
    <m/>
    <n v="1"/>
    <n v="5"/>
    <n v="0"/>
    <n v="0"/>
    <n v="0"/>
    <m/>
    <s v="https://github.com/python/typing/pull/1841"/>
    <s v="Checkbox Sign-off"/>
    <s v="Sign-Off"/>
  </r>
  <r>
    <n v="29"/>
    <m/>
    <n v="36"/>
    <s v="2024-09-27"/>
    <s v="Typing spec update: a non-ReadOnly item in a TypedDict cannot be redeclared as ReadOnly"/>
    <m/>
    <x v="0"/>
    <s v="N/A"/>
    <m/>
    <m/>
    <s v="https://github.com/python/typing-council/issues/36"/>
    <x v="28"/>
    <n v="0"/>
    <m/>
    <m/>
    <n v="1"/>
    <n v="5"/>
    <n v="0"/>
    <n v="0"/>
    <n v="0"/>
    <m/>
    <s v="https://github.com/python/typing/pull/1859"/>
    <s v="Checkbox Sign-off"/>
    <s v="Sign-Off"/>
  </r>
  <r>
    <n v="30"/>
    <m/>
    <n v="38"/>
    <s v="2024-10-31"/>
    <s v="Typing spec update: clarifications to user-defined generic classes"/>
    <m/>
    <x v="0"/>
    <s v="N/A"/>
    <m/>
    <m/>
    <s v="https://github.com/python/typing-council/issues/38"/>
    <x v="29"/>
    <n v="0"/>
    <m/>
    <m/>
    <n v="1"/>
    <n v="5"/>
    <n v="0"/>
    <n v="0"/>
    <n v="0"/>
    <m/>
    <s v="https://github.com/python/typing/pull/1879"/>
    <s v="Checkbox Sign-off"/>
    <s v="Sign-Off"/>
  </r>
  <r>
    <n v="31"/>
    <m/>
    <n v="39"/>
    <s v="2024-12-01"/>
    <s v="Typing spec update: `ClassVar` and `Final` within `TypedDict`"/>
    <m/>
    <x v="0"/>
    <s v="N/A"/>
    <m/>
    <m/>
    <s v="https://github.com/python/typing-council/issues/39"/>
    <x v="30"/>
    <n v="0"/>
    <m/>
    <m/>
    <n v="1"/>
    <n v="5"/>
    <n v="0"/>
    <n v="0"/>
    <n v="0"/>
    <m/>
    <s v="https://github.com/python/typing/pull/1890"/>
    <s v="Checkbox Sign-off"/>
    <s v="Sign-Off"/>
  </r>
  <r>
    <n v="32"/>
    <m/>
    <n v="40"/>
    <s v="2025-01-25"/>
    <s v="Typing spec update for overloads"/>
    <m/>
    <x v="0"/>
    <s v="N/A"/>
    <m/>
    <m/>
    <s v="https://github.com/python/typing-council/issues/40"/>
    <x v="31"/>
    <n v="0"/>
    <m/>
    <m/>
    <n v="1"/>
    <n v="5"/>
    <n v="0"/>
    <n v="0"/>
    <n v="0"/>
    <m/>
    <s v="https://github.com/python/typing/pull/1839"/>
    <s v="Checkbox Sign-off"/>
    <s v="Sign-Off"/>
  </r>
  <r>
    <n v="33"/>
    <m/>
    <n v="42"/>
    <s v="2025-03-04"/>
    <s v="Clarification on imports of Final variables"/>
    <m/>
    <x v="0"/>
    <n v="591"/>
    <m/>
    <m/>
    <s v="https://github.com/python/typing-council/issues/42"/>
    <x v="27"/>
    <n v="0"/>
    <m/>
    <m/>
    <n v="1"/>
    <n v="5"/>
    <n v="0"/>
    <n v="0"/>
    <n v="0"/>
    <m/>
    <s v="https://github.com/python/typing/pull/1937"/>
    <s v="Checkbox Sign-off"/>
    <s v="Sign-Off"/>
  </r>
  <r>
    <n v="34"/>
    <m/>
    <n v="43"/>
    <s v="2025-03-17"/>
    <s v="Typing specification update: Allow bare `typing.ClassVar` qualifiers"/>
    <m/>
    <x v="0"/>
    <s v="N/A"/>
    <m/>
    <m/>
    <s v="https://github.com/python/typing-council/issues/43"/>
    <x v="32"/>
    <n v="0"/>
    <m/>
    <m/>
    <n v="1"/>
    <n v="5"/>
    <n v="0"/>
    <n v="0"/>
    <n v="0"/>
    <m/>
    <s v="https://github.com/python/typing/pull/1931"/>
    <s v="Checkbox Sign-off"/>
    <s v="Sign-Off"/>
  </r>
  <r>
    <n v="35"/>
    <m/>
    <n v="44"/>
    <s v="2025-06-17"/>
    <s v="PEP 747: Annotating Type Forms"/>
    <m/>
    <x v="0"/>
    <n v="747"/>
    <m/>
    <m/>
    <s v="https://github.com/python/typing-council/issues/44"/>
    <x v="33"/>
    <n v="4"/>
    <m/>
    <m/>
    <n v="1"/>
    <n v="5"/>
    <n v="0"/>
    <n v="0"/>
    <n v="0"/>
    <m/>
    <s v="https://github.com/python/mypy/pull/18690"/>
    <s v="Checkbox Sign-off"/>
    <s v="Unanimous Consent"/>
  </r>
  <r>
    <n v="36"/>
    <m/>
    <n v="45"/>
    <s v="2025-06-29"/>
    <s v="Spec change: clarify that assert_type() uses equivalence"/>
    <m/>
    <x v="0"/>
    <s v="N/A"/>
    <m/>
    <m/>
    <s v="https://github.com/python/typing-council/issues/45"/>
    <x v="34"/>
    <n v="0"/>
    <m/>
    <m/>
    <n v="1"/>
    <n v="4"/>
    <n v="0"/>
    <n v="1"/>
    <n v="0.39999999999999991"/>
    <m/>
    <s v="https://github.com/python/typing/pull/2011"/>
    <s v="Checkbox Sign-off"/>
    <s v="Sign-Off"/>
  </r>
  <r>
    <n v="37"/>
    <m/>
    <n v="46"/>
    <s v="2025-06-29"/>
    <s v="Spec change: float/int promotion is implemented through implicit unions"/>
    <m/>
    <x v="0"/>
    <s v="N/A"/>
    <m/>
    <m/>
    <s v="https://github.com/python/typing-council/issues/46"/>
    <x v="35"/>
    <n v="0"/>
    <m/>
    <m/>
    <n v="1"/>
    <n v="3"/>
    <n v="0"/>
    <n v="2"/>
    <n v="0.4898979485566356"/>
    <s v="Rejected due to lack of consensus even though majority supported"/>
    <s v="https://github.com/python/typing/pull/1748"/>
    <s v="Checkbox Sign-off"/>
    <s v="Sign-Off"/>
  </r>
  <r>
    <n v="38"/>
    <m/>
    <n v="47"/>
    <s v="2025-07-07"/>
    <s v="Spec change: clarify namedtuple member rules"/>
    <m/>
    <x v="0"/>
    <s v="N/A"/>
    <m/>
    <m/>
    <s v="https://github.com/python/typing-council/issues/47"/>
    <x v="36"/>
    <n v="0"/>
    <m/>
    <m/>
    <n v="1"/>
    <n v="4"/>
    <n v="0"/>
    <n v="1"/>
    <n v="0.39999999999999991"/>
    <m/>
    <s v="https://github.com/python/typing/pull/1979"/>
    <s v="Checkbox Sign-off"/>
    <s v="Sign-Off"/>
  </r>
  <r>
    <n v="39"/>
    <m/>
    <n v="48"/>
    <s v="2025-08-20"/>
    <s v="Spec change: TypedDict rewrite"/>
    <m/>
    <x v="0"/>
    <s v="N/A"/>
    <m/>
    <m/>
    <s v="https://github.com/python/typing-council/issues/48"/>
    <x v="37"/>
    <n v="0"/>
    <m/>
    <m/>
    <n v="1"/>
    <n v="4"/>
    <n v="0"/>
    <n v="1"/>
    <n v="0.39999999999999991"/>
    <m/>
    <s v="https://github.com/python/typing/pull/2072"/>
    <s v="Checkbox Sign-off"/>
    <s v="Sign-Off"/>
  </r>
  <r>
    <n v="40"/>
    <m/>
    <n v="49"/>
    <s v="2026-01-08"/>
    <s v="PEP 800"/>
    <m/>
    <x v="0"/>
    <n v="800"/>
    <m/>
    <m/>
    <s v="https://github.com/python/typing-council/issues/49"/>
    <x v="38"/>
    <n v="0"/>
    <m/>
    <m/>
    <n v="1"/>
    <n v="5"/>
    <n v="0"/>
    <n v="0"/>
    <n v="0"/>
    <m/>
    <s v="N/A (No PR linked)"/>
    <s v="Checkbox Sign-off"/>
    <s v="Sign-Off"/>
  </r>
  <r>
    <n v="41"/>
    <m/>
    <n v="50"/>
    <s v="2026-01-22"/>
    <s v="Spec change: Clarify that `tuple` should not be prohibited as an argument to `type`"/>
    <m/>
    <x v="0"/>
    <s v="N/A"/>
    <m/>
    <m/>
    <s v="https://github.com/python/typing-council/issues/50"/>
    <x v="39"/>
    <n v="0"/>
    <m/>
    <m/>
    <n v="1"/>
    <n v="3"/>
    <n v="0"/>
    <n v="2"/>
    <n v="0.4898979485566356"/>
    <m/>
    <s v="https://github.com/python/typing/pull/2146"/>
    <s v="Checkbox Sign-off"/>
    <s v="Sign-Off"/>
  </r>
  <r>
    <n v="42"/>
    <m/>
    <n v="51"/>
    <s v="2026-01-28"/>
    <s v="Spec change: Change the typing spec around string references"/>
    <m/>
    <x v="0"/>
    <s v="N/A"/>
    <m/>
    <m/>
    <s v="https://github.com/python/typing-council/issues/51"/>
    <x v="40"/>
    <n v="0"/>
    <m/>
    <m/>
    <n v="1"/>
    <n v="5"/>
    <n v="0"/>
    <n v="0"/>
    <n v="0"/>
    <m/>
    <s v="https://github.com/python/typing/pull/2144"/>
    <s v="Checkbox Sign-off"/>
    <s v="Sign-Off"/>
  </r>
  <r>
    <n v="43"/>
    <m/>
    <n v="53"/>
    <s v="2026-02-25"/>
    <s v="Spec Change:  Class Access of Self Variables"/>
    <m/>
    <x v="0"/>
    <s v="N/A"/>
    <m/>
    <m/>
    <s v="https://github.com/python/typing-council/issues/53"/>
    <x v="41"/>
    <n v="0"/>
    <m/>
    <m/>
    <n v="1"/>
    <n v="0"/>
    <n v="0"/>
    <n v="5"/>
    <n v="0"/>
    <s v="Closed by default"/>
    <s v="https://github.com/python/typing/pull/2148"/>
    <s v="Checkbox Sign-off"/>
    <s v="Sign-Off"/>
  </r>
  <r>
    <n v="44"/>
    <m/>
    <n v="54"/>
    <s v="2026-03-30"/>
    <s v="Spec change: Do not mandate TypeVarTuple inference rules"/>
    <m/>
    <x v="0"/>
    <s v="N/A"/>
    <m/>
    <m/>
    <s v="https://github.com/python/typing-council/issues/54"/>
    <x v="42"/>
    <n v="0"/>
    <m/>
    <m/>
    <n v="1"/>
    <n v="5"/>
    <n v="0"/>
    <n v="0"/>
    <n v="0"/>
    <m/>
    <s v="https://github.com/python/typing/pull/2203"/>
    <s v="Checkbox Sign-off"/>
    <s v="Sign-Off"/>
  </r>
  <r>
    <n v="45"/>
    <m/>
    <n v="56"/>
    <s v="2026-04-15"/>
    <s v="Spec change: ambiguous arguments in overload call evaluation"/>
    <m/>
    <x v="0"/>
    <s v="N/A"/>
    <m/>
    <m/>
    <s v="https://github.com/python/typing-council/issues/56"/>
    <x v="43"/>
    <n v="0"/>
    <m/>
    <m/>
    <n v="1"/>
    <n v="2"/>
    <n v="0"/>
    <n v="3"/>
    <n v="0.4898979485566356"/>
    <m/>
    <s v="https://github.com/python/typing/pull/2250"/>
    <s v="Checkbox Sign-off"/>
    <s v="Sign-Off"/>
  </r>
  <r>
    <n v="46"/>
    <m/>
    <n v="57"/>
    <s v="2026-04-16"/>
    <s v="Spec change: Allow type checkers to ignore specific error codes"/>
    <m/>
    <x v="0"/>
    <s v="N/A"/>
    <m/>
    <m/>
    <s v="https://github.com/python/typing-council/issues/57"/>
    <x v="44"/>
    <n v="0"/>
    <m/>
    <m/>
    <n v="1"/>
    <n v="5"/>
    <n v="0"/>
    <n v="0"/>
    <n v="0"/>
    <m/>
    <s v="https://github.com/python/typing/pull/2153"/>
    <s v="Checkbox Sign-off"/>
    <s v="Sign-Off"/>
  </r>
  <r>
    <n v="47"/>
    <m/>
    <n v="58"/>
    <s v="2026-04-17"/>
    <s v="Spec change: explicitly permit (statically known) conditional fields in TypedDict, NamedTuple, Enum, and dataclasses"/>
    <m/>
    <x v="0"/>
    <s v="N/A"/>
    <m/>
    <m/>
    <s v="https://github.com/python/typing-council/issues/58"/>
    <x v="45"/>
    <n v="0"/>
    <m/>
    <m/>
    <n v="1"/>
    <n v="5"/>
    <n v="0"/>
    <n v="0"/>
    <n v="0"/>
    <m/>
    <s v="https://github.com/python/typing/pull/2263"/>
    <s v="Checkbox Sign-off"/>
    <s v="Sign-Off"/>
  </r>
  <r>
    <n v="48"/>
    <m/>
    <n v="59"/>
    <s v="2026-04-23"/>
    <s v="spec change: support variance on parameter specification and type variable tuple"/>
    <m/>
    <x v="0"/>
    <s v="N/A"/>
    <m/>
    <m/>
    <s v="https://github.com/python/typing-council/issues/59"/>
    <x v="46"/>
    <n v="0"/>
    <m/>
    <m/>
    <n v="1"/>
    <n v="5"/>
    <n v="0"/>
    <n v="0"/>
    <n v="0"/>
    <m/>
    <s v="https://github.com/python/typing/pull/2215"/>
    <s v="Checkbox Sign-off"/>
    <s v="Sign-Off"/>
  </r>
  <r>
    <n v="49"/>
    <m/>
    <n v="63"/>
    <s v="2026-08-07"/>
    <s v="Spec change: Do not require an error for a generic class attribute"/>
    <m/>
    <x v="0"/>
    <s v="N/A"/>
    <m/>
    <m/>
    <s v="https://github.com/python/typing-council/issues/63"/>
    <x v="47"/>
    <n v="0"/>
    <m/>
    <m/>
    <n v="1"/>
    <n v="5"/>
    <n v="0"/>
    <n v="0"/>
    <n v="0"/>
    <m/>
    <s v="https://github.com/python/typing/pull/2008"/>
    <s v="Checkbox Sign-off"/>
    <s v="Sign-Off"/>
  </r>
  <r>
    <n v="50"/>
    <m/>
    <n v="64"/>
    <s v="2026-08-15"/>
    <s v="Spec change: Update/clarify rules and tests for TypedDict unpacking into function call"/>
    <m/>
    <x v="0"/>
    <s v="N/A"/>
    <m/>
    <m/>
    <s v="https://github.com/python/typing-council/issues/64"/>
    <x v="48"/>
    <n v="0"/>
    <m/>
    <m/>
    <n v="1"/>
    <n v="3"/>
    <n v="0"/>
    <n v="2"/>
    <n v="0.4898979485566356"/>
    <s v="Still open"/>
    <s v="https://github.com/python/typing/pull/2338"/>
    <s v="Checkbox Sign-off"/>
    <s v="Sign-Off"/>
  </r>
  <r>
    <n v="51"/>
    <m/>
    <n v="65"/>
    <s v="2026-08-27"/>
    <s v="Spec change: allow more precise gradual types than Any for ambiguous overload returns"/>
    <m/>
    <x v="0"/>
    <s v="N/A"/>
    <m/>
    <m/>
    <s v="https://github.com/python/typing-council/issues/65"/>
    <x v="49"/>
    <n v="0"/>
    <m/>
    <m/>
    <n v="1"/>
    <n v="5"/>
    <n v="0"/>
    <n v="0"/>
    <n v="0"/>
    <m/>
    <s v="https://github.com/python/typing/pull/2350"/>
    <s v="Checkbox Sign-off"/>
    <s v="Sign-Off"/>
  </r>
  <r>
    <n v="52"/>
    <m/>
    <m/>
    <s v="2018-11-15"/>
    <s v="&quot;Straw poll: Which governance proposals do you like best?&quot; — non-binding sentiment poll across competing post-BDFL governance PEPs"/>
    <m/>
    <x v="1"/>
    <s v="8010"/>
    <s v="PEP 8010"/>
    <m/>
    <s v="https://discuss.python.org/t/straw-poll-which-governance-proposals-do-you-like-best/436"/>
    <x v="50"/>
    <n v="6"/>
    <m/>
    <m/>
    <n v="1"/>
    <n v="3"/>
    <n v="9"/>
    <n v="0"/>
    <n v="0.8660254037844386"/>
    <m/>
    <m/>
    <s v="Straw Poll"/>
    <m/>
  </r>
  <r>
    <n v="53"/>
    <m/>
    <s v="N/A"/>
    <s v="2018-11-15"/>
    <s v="&quot;Straw poll: Which governance proposals do you like best?&quot; — non-binding sentiment poll across competing post-BDFL governance PEPs"/>
    <m/>
    <x v="1"/>
    <s v="8011"/>
    <s v="PEP 8011"/>
    <m/>
    <s v="https://discuss.python.org/t/straw-poll-which-governance-proposals-do-you-like-best/436"/>
    <x v="50"/>
    <n v="6"/>
    <m/>
    <m/>
    <n v="1"/>
    <n v="2"/>
    <n v="10"/>
    <n v="0"/>
    <n v="0.7453559924999299"/>
    <m/>
    <s v="N/A (No PR linked)"/>
    <s v="Straw Poll"/>
    <m/>
  </r>
  <r>
    <n v="54"/>
    <m/>
    <s v="N/A"/>
    <s v="2018-11-15"/>
    <s v="&quot;Straw poll: Which governance proposals do you like best?&quot; — non-binding sentiment poll across competing post-BDFL governance PEPs"/>
    <m/>
    <x v="1"/>
    <s v="8012"/>
    <s v="PEP 8012"/>
    <m/>
    <s v="https://discuss.python.org/t/straw-poll-which-governance-proposals-do-you-like-best/436"/>
    <x v="50"/>
    <n v="6"/>
    <m/>
    <m/>
    <n v="1"/>
    <n v="3"/>
    <n v="9"/>
    <n v="0"/>
    <n v="0.8660254037844386"/>
    <m/>
    <s v="N/A (No PR linked)"/>
    <s v="Straw Poll"/>
    <m/>
  </r>
  <r>
    <n v="55"/>
    <m/>
    <s v="N/A"/>
    <s v="2018-11-15"/>
    <s v="&quot;Straw poll: Which governance proposals do you like best?&quot; — non-binding sentiment poll across competing post-BDFL governance PEPs"/>
    <m/>
    <x v="1"/>
    <s v="8013"/>
    <s v="PEP 8013"/>
    <m/>
    <s v="https://discuss.python.org/t/straw-poll-which-governance-proposals-do-you-like-best/436"/>
    <x v="50"/>
    <n v="6"/>
    <m/>
    <m/>
    <n v="1"/>
    <n v="1"/>
    <n v="11"/>
    <n v="0"/>
    <n v="0.5527707983925666"/>
    <m/>
    <s v="N/A (No PR linked)"/>
    <s v="Straw Poll"/>
    <m/>
  </r>
  <r>
    <n v="56"/>
    <m/>
    <s v="N/A"/>
    <s v="2018-11-15"/>
    <s v="&quot;Straw poll: Which governance proposals do you like best?&quot; — non-binding sentiment poll across competing post-BDFL governance PEPs"/>
    <m/>
    <x v="1"/>
    <s v="8014"/>
    <s v="PEP 8014"/>
    <m/>
    <s v="https://discuss.python.org/t/straw-poll-which-governance-proposals-do-you-like-best/436"/>
    <x v="50"/>
    <n v="6"/>
    <m/>
    <m/>
    <n v="1"/>
    <n v="0"/>
    <n v="12"/>
    <n v="0"/>
    <n v="0"/>
    <m/>
    <s v="N/A (No PR linked)"/>
    <s v="Straw Poll"/>
    <m/>
  </r>
  <r>
    <n v="57"/>
    <m/>
    <s v="N/A"/>
    <s v="2018-11-15"/>
    <s v="&quot;Straw poll: Which governance proposals do you like best?&quot; — non-binding sentiment poll across competing post-BDFL governance PEPs"/>
    <m/>
    <x v="1"/>
    <s v="8015"/>
    <s v="PEP 8015"/>
    <m/>
    <s v="https://discuss.python.org/t/straw-poll-which-governance-proposals-do-you-like-best/436"/>
    <x v="50"/>
    <n v="6"/>
    <m/>
    <m/>
    <n v="1"/>
    <n v="4"/>
    <n v="8"/>
    <n v="0"/>
    <n v="0.94280904158206336"/>
    <m/>
    <s v="N/A (No PR linked)"/>
    <s v="Straw Poll"/>
    <m/>
  </r>
  <r>
    <n v="58"/>
    <m/>
    <s v="N/A"/>
    <s v="2018-11-15"/>
    <s v="&quot;Straw poll: Which governance proposals do you like best?&quot; — non-binding sentiment poll across competing post-BDFL governance PEPs"/>
    <m/>
    <x v="0"/>
    <s v="8016"/>
    <s v="PEP 8016"/>
    <m/>
    <s v="https://discuss.python.org/t/straw-poll-which-governance-proposals-do-you-like-best/436"/>
    <x v="50"/>
    <n v="6"/>
    <m/>
    <m/>
    <n v="1"/>
    <n v="10"/>
    <n v="2"/>
    <n v="0"/>
    <n v="0.7453559924999299"/>
    <m/>
    <s v="N/A (No PR linked)"/>
    <s v="Straw Poll"/>
    <m/>
  </r>
  <r>
    <n v="59"/>
    <s v="Round 1"/>
    <s v="N/A"/>
    <s v="2018-12-17"/>
    <s v="Governance vote: PEP 8016 &quot;The Steering Council Model&quot; selected as Python's post-BDFL governance model"/>
    <m/>
    <x v="1"/>
    <s v="PEP 8010"/>
    <s v="PEP 8010"/>
    <m/>
    <s v="https://discuss.python.org/t/python-governance-vote-december-2018-results/546"/>
    <x v="51"/>
    <n v="7"/>
    <m/>
    <m/>
    <n v="1"/>
    <n v="43"/>
    <n v="18"/>
    <n v="33"/>
    <n v="0.76039647993652904"/>
    <m/>
    <m/>
    <m/>
    <m/>
  </r>
  <r>
    <n v="60"/>
    <s v="Round 1"/>
    <s v="N/A"/>
    <s v="2018-12-17"/>
    <s v="Governance vote: PEP 8016 &quot;The Steering Council Model&quot; selected as Python's post-BDFL governance model"/>
    <m/>
    <x v="1"/>
    <s v="PEP 8011"/>
    <s v="PEP 8011"/>
    <m/>
    <s v="https://discuss.python.org/t/python-governance-vote-december-2018-results/546"/>
    <x v="51"/>
    <n v="7"/>
    <m/>
    <m/>
    <n v="1"/>
    <n v="51"/>
    <n v="10"/>
    <n v="33"/>
    <n v="0.67726783159136195"/>
    <m/>
    <m/>
    <m/>
    <m/>
  </r>
  <r>
    <n v="61"/>
    <s v="Round 1"/>
    <s v="N/A"/>
    <s v="2018-12-17"/>
    <s v="Governance vote: PEP 8016 &quot;The Steering Council Model&quot; selected as Python's post-BDFL governance model"/>
    <m/>
    <x v="1"/>
    <s v="PEP 8012"/>
    <s v="PEP 8012"/>
    <m/>
    <s v="https://discuss.python.org/t/python-governance-vote-december-2018-results/546"/>
    <x v="51"/>
    <n v="7"/>
    <m/>
    <m/>
    <n v="1"/>
    <n v="48"/>
    <n v="14"/>
    <n v="32"/>
    <n v="0.72714925492064086"/>
    <m/>
    <m/>
    <m/>
    <m/>
  </r>
  <r>
    <n v="62"/>
    <s v="Round 1"/>
    <s v="N/A"/>
    <s v="2018-12-17"/>
    <s v="Governance vote: PEP 8016 &quot;The Steering Council Model&quot; selected as Python's post-BDFL governance model"/>
    <m/>
    <x v="1"/>
    <s v="PEP 8013"/>
    <s v="PEP 8013"/>
    <m/>
    <s v="https://discuss.python.org/t/python-governance-vote-december-2018-results/546"/>
    <x v="51"/>
    <n v="7"/>
    <m/>
    <m/>
    <n v="1"/>
    <n v="32"/>
    <n v="29"/>
    <n v="33"/>
    <n v="0.80493329523518908"/>
    <m/>
    <m/>
    <m/>
    <m/>
  </r>
  <r>
    <n v="63"/>
    <s v="Round 1"/>
    <s v="N/A"/>
    <s v="2018-12-17"/>
    <s v="Governance vote: PEP 8016 &quot;The Steering Council Model&quot; selected as Python's post-BDFL governance model"/>
    <m/>
    <x v="1"/>
    <s v="PEP 8014"/>
    <s v="PEP 8014"/>
    <m/>
    <s v="https://discuss.python.org/t/python-governance-vote-december-2018-results/546"/>
    <x v="51"/>
    <n v="7"/>
    <m/>
    <m/>
    <n v="1"/>
    <n v="38"/>
    <n v="23"/>
    <n v="33"/>
    <n v="0.78960253251121304"/>
    <m/>
    <m/>
    <m/>
    <m/>
  </r>
  <r>
    <n v="64"/>
    <s v="Round 1"/>
    <s v="N/A"/>
    <s v="2018-12-17"/>
    <s v="Governance vote: PEP 8016 &quot;The Steering Council Model&quot; selected as Python's post-BDFL governance model"/>
    <m/>
    <x v="1"/>
    <s v="PEP 8015"/>
    <s v="PEP 8015"/>
    <m/>
    <s v="https://discuss.python.org/t/python-governance-vote-december-2018-results/546"/>
    <x v="51"/>
    <n v="7"/>
    <m/>
    <m/>
    <n v="1"/>
    <n v="48"/>
    <n v="13"/>
    <n v="33"/>
    <n v="0.71435199847657638"/>
    <m/>
    <m/>
    <m/>
    <m/>
  </r>
  <r>
    <n v="65"/>
    <s v="Round 1"/>
    <s v="N/A"/>
    <s v="2018-12-17"/>
    <s v="Governance vote: PEP 8016 &quot;The Steering Council Model&quot; selected as Python's post-BDFL governance model"/>
    <m/>
    <x v="0"/>
    <s v="PEP 8016"/>
    <s v="PEP 8016"/>
    <m/>
    <s v="https://discuss.python.org/t/python-governance-vote-december-2018-results/546"/>
    <x v="51"/>
    <n v="7"/>
    <m/>
    <m/>
    <n v="1"/>
    <n v="57"/>
    <n v="4"/>
    <n v="33"/>
    <n v="0.57535392693574294"/>
    <m/>
    <m/>
    <m/>
    <m/>
  </r>
  <r>
    <n v="66"/>
    <s v="Round 2"/>
    <s v="N/A"/>
    <s v="2018-12-17"/>
    <s v="Governance vote: PEP 8016 &quot;The Steering Council Model&quot; selected as Python's post-BDFL governance model"/>
    <m/>
    <x v="1"/>
    <s v="PEP 8010"/>
    <s v="PEP 8010"/>
    <m/>
    <s v="https://discuss.python.org/t/python-governance-vote-december-2018-results/546"/>
    <x v="51"/>
    <n v="6"/>
    <m/>
    <m/>
    <n v="1"/>
    <n v="38"/>
    <n v="17"/>
    <n v="39"/>
    <n v="0.73157154242358269"/>
    <m/>
    <m/>
    <m/>
    <m/>
  </r>
  <r>
    <n v="67"/>
    <s v="Round 2"/>
    <s v="N/A"/>
    <s v="2018-12-17"/>
    <s v="Governance vote: PEP 8016 &quot;The Steering Council Model&quot; selected as Python's post-BDFL governance model"/>
    <m/>
    <x v="1"/>
    <s v="PEP 8011"/>
    <s v="PEP 8011"/>
    <m/>
    <s v="https://discuss.python.org/t/python-governance-vote-december-2018-results/546"/>
    <x v="51"/>
    <n v="6"/>
    <m/>
    <m/>
    <n v="1"/>
    <n v="52"/>
    <n v="9"/>
    <n v="33"/>
    <n v="0.663082640095635"/>
    <m/>
    <m/>
    <m/>
    <m/>
  </r>
  <r>
    <n v="68"/>
    <s v="Round 2"/>
    <s v="N/A"/>
    <s v="2018-12-17"/>
    <s v="Governance vote: PEP 8016 &quot;The Steering Council Model&quot; selected as Python's post-BDFL governance model"/>
    <m/>
    <x v="1"/>
    <s v="PEP 8012"/>
    <s v="PEP 8012"/>
    <m/>
    <s v="https://discuss.python.org/t/python-governance-vote-december-2018-results/546"/>
    <x v="51"/>
    <n v="6"/>
    <m/>
    <m/>
    <n v="1"/>
    <n v="48"/>
    <n v="9"/>
    <n v="37"/>
    <n v="0.65897364535951408"/>
    <m/>
    <m/>
    <m/>
    <m/>
  </r>
  <r>
    <n v="69"/>
    <s v="Round 2"/>
    <s v="N/A"/>
    <s v="2018-12-17"/>
    <s v="Governance vote: PEP 8016 &quot;The Steering Council Model&quot; selected as Python's post-BDFL governance model"/>
    <m/>
    <x v="1"/>
    <s v="PEP 8014"/>
    <s v="PEP 8014"/>
    <m/>
    <s v="https://discuss.python.org/t/python-governance-vote-december-2018-results/546"/>
    <x v="51"/>
    <n v="6"/>
    <m/>
    <m/>
    <n v="1"/>
    <n v="40"/>
    <n v="14"/>
    <n v="40"/>
    <n v="0.70566484901178728"/>
    <m/>
    <m/>
    <m/>
    <m/>
  </r>
  <r>
    <n v="70"/>
    <s v="Round 2"/>
    <s v="N/A"/>
    <s v="2018-12-17"/>
    <s v="Governance vote: PEP 8016 &quot;The Steering Council Model&quot; selected as Python's post-BDFL governance model"/>
    <m/>
    <x v="1"/>
    <s v="PEP 8015"/>
    <s v="PEP 8015"/>
    <m/>
    <s v="https://discuss.python.org/t/python-governance-vote-december-2018-results/546"/>
    <x v="51"/>
    <n v="6"/>
    <m/>
    <m/>
    <n v="1"/>
    <n v="47"/>
    <n v="12"/>
    <n v="35"/>
    <n v="0.69930120976786359"/>
    <m/>
    <m/>
    <m/>
    <m/>
  </r>
  <r>
    <n v="71"/>
    <s v="Round 2"/>
    <s v="N/A"/>
    <s v="2018-12-17"/>
    <s v="Governance vote: PEP 8016 &quot;The Steering Council Model&quot; selected as Python's post-BDFL governance model"/>
    <m/>
    <x v="0"/>
    <s v="PEP 8016"/>
    <s v="PEP 8016"/>
    <m/>
    <s v="https://discuss.python.org/t/python-governance-vote-december-2018-results/546"/>
    <x v="51"/>
    <n v="6"/>
    <m/>
    <m/>
    <n v="1"/>
    <n v="55"/>
    <n v="6"/>
    <n v="33"/>
    <n v="0.61417170314302372"/>
    <m/>
    <m/>
    <m/>
    <m/>
  </r>
  <r>
    <n v="72"/>
    <s v="Round 3"/>
    <s v="N/A"/>
    <s v="2018-12-17"/>
    <s v="Governance vote: PEP 8016 &quot;The Steering Council Model&quot; selected as Python's post-BDFL governance model"/>
    <m/>
    <x v="1"/>
    <s v="PEP 8011"/>
    <s v="PEP 8011"/>
    <m/>
    <s v="https://discuss.python.org/t/python-governance-vote-december-2018-results/546"/>
    <x v="51"/>
    <n v="5"/>
    <m/>
    <m/>
    <n v="1"/>
    <n v="42"/>
    <n v="14"/>
    <n v="38"/>
    <n v="0.71205108641197912"/>
    <m/>
    <m/>
    <m/>
    <m/>
  </r>
  <r>
    <n v="73"/>
    <s v="Round 3"/>
    <s v="N/A"/>
    <s v="2018-12-17"/>
    <s v="Governance vote: PEP 8016 &quot;The Steering Council Model&quot; selected as Python's post-BDFL governance model"/>
    <m/>
    <x v="1"/>
    <s v="PEP 8012"/>
    <s v="PEP 8012"/>
    <m/>
    <s v="https://discuss.python.org/t/python-governance-vote-december-2018-results/546"/>
    <x v="51"/>
    <n v="5"/>
    <m/>
    <m/>
    <n v="1"/>
    <n v="40"/>
    <n v="20"/>
    <n v="34"/>
    <n v="0.77008344982356847"/>
    <m/>
    <m/>
    <m/>
    <m/>
  </r>
  <r>
    <n v="74"/>
    <s v="Round 3"/>
    <s v="N/A"/>
    <s v="2018-12-17"/>
    <s v="Governance vote: PEP 8016 &quot;The Steering Council Model&quot; selected as Python's post-BDFL governance model"/>
    <m/>
    <x v="1"/>
    <s v="PEP 8014"/>
    <s v="PEP 8014"/>
    <m/>
    <s v="https://discuss.python.org/t/python-governance-vote-december-2018-results/546"/>
    <x v="51"/>
    <n v="5"/>
    <m/>
    <m/>
    <n v="1"/>
    <n v="30"/>
    <n v="28"/>
    <n v="36"/>
    <n v="0.7852188122232312"/>
    <m/>
    <m/>
    <m/>
    <m/>
  </r>
  <r>
    <n v="75"/>
    <s v="Round 3"/>
    <s v="N/A"/>
    <s v="2018-12-17"/>
    <s v="Governance vote: PEP 8016 &quot;The Steering Council Model&quot; selected as Python's post-BDFL governance model"/>
    <m/>
    <x v="1"/>
    <s v="PEP 8015"/>
    <s v="PEP 8015"/>
    <m/>
    <s v="https://discuss.python.org/t/python-governance-vote-december-2018-results/546"/>
    <x v="51"/>
    <n v="5"/>
    <m/>
    <m/>
    <n v="1"/>
    <n v="36"/>
    <n v="22"/>
    <n v="36"/>
    <n v="0.77125825363369616"/>
    <m/>
    <m/>
    <m/>
    <m/>
  </r>
  <r>
    <n v="76"/>
    <s v="Round 3"/>
    <s v="N/A"/>
    <s v="2018-12-17"/>
    <s v="Governance vote: PEP 8016 &quot;The Steering Council Model&quot; selected as Python's post-BDFL governance model"/>
    <m/>
    <x v="0"/>
    <s v="PEP 8016"/>
    <s v="PEP 8016"/>
    <m/>
    <s v="https://discuss.python.org/t/python-governance-vote-december-2018-results/546"/>
    <x v="51"/>
    <n v="5"/>
    <m/>
    <m/>
    <n v="1"/>
    <n v="44"/>
    <n v="15"/>
    <n v="35"/>
    <n v="0.72971279317627735"/>
    <m/>
    <m/>
    <m/>
    <m/>
  </r>
  <r>
    <n v="77"/>
    <s v="Round 4"/>
    <s v="N/A"/>
    <s v="2018-12-17"/>
    <s v="Governance vote: PEP 8016 &quot;The Steering Council Model&quot; selected as Python's post-BDFL governance model"/>
    <m/>
    <x v="1"/>
    <s v="PEP 8011"/>
    <s v="PEP 8011"/>
    <m/>
    <s v="https://discuss.python.org/t/python-governance-vote-december-2018-results/546"/>
    <x v="51"/>
    <n v="4"/>
    <m/>
    <m/>
    <n v="1"/>
    <n v="42"/>
    <n v="16"/>
    <n v="36"/>
    <n v="0.73519798056046792"/>
    <m/>
    <m/>
    <m/>
    <m/>
  </r>
  <r>
    <n v="78"/>
    <s v="Round 4"/>
    <s v="N/A"/>
    <s v="2018-12-17"/>
    <s v="Governance vote: PEP 8016 &quot;The Steering Council Model&quot; selected as Python's post-BDFL governance model"/>
    <m/>
    <x v="1"/>
    <s v="PEP 8012"/>
    <s v="PEP 8012"/>
    <m/>
    <s v="https://discuss.python.org/t/python-governance-vote-december-2018-results/546"/>
    <x v="51"/>
    <n v="4"/>
    <m/>
    <m/>
    <n v="1"/>
    <n v="40"/>
    <n v="18"/>
    <n v="36"/>
    <n v="0.74983022071089778"/>
    <m/>
    <m/>
    <m/>
    <m/>
  </r>
  <r>
    <n v="79"/>
    <s v="Round 4"/>
    <s v="N/A"/>
    <s v="2018-12-17"/>
    <s v="Governance vote: PEP 8016 &quot;The Steering Council Model&quot; selected as Python's post-BDFL governance model"/>
    <m/>
    <x v="1"/>
    <s v="PEP 8015"/>
    <s v="PEP 8015"/>
    <m/>
    <s v="https://discuss.python.org/t/python-governance-vote-december-2018-results/546"/>
    <x v="51"/>
    <n v="4"/>
    <m/>
    <m/>
    <n v="1"/>
    <n v="38"/>
    <n v="18"/>
    <n v="38"/>
    <n v="0.74194024570905082"/>
    <m/>
    <m/>
    <m/>
    <m/>
  </r>
  <r>
    <n v="80"/>
    <s v="Round 4"/>
    <s v="N/A"/>
    <s v="2018-12-17"/>
    <s v="Governance vote: PEP 8016 &quot;The Steering Council Model&quot; selected as Python's post-BDFL governance model"/>
    <m/>
    <x v="0"/>
    <s v="PEP 8016"/>
    <s v="PEP 8016"/>
    <m/>
    <s v="https://discuss.python.org/t/python-governance-vote-december-2018-results/546"/>
    <x v="51"/>
    <n v="4"/>
    <m/>
    <m/>
    <n v="1"/>
    <n v="50"/>
    <n v="9"/>
    <n v="35"/>
    <n v="0.6613736613774277"/>
    <m/>
    <m/>
    <m/>
    <m/>
  </r>
  <r>
    <n v="81"/>
    <s v="Round 5"/>
    <s v="N/A"/>
    <s v="2018-12-17"/>
    <s v="Governance vote: PEP 8016 &quot;The Steering Council Model&quot; selected as Python's post-BDFL governance model"/>
    <m/>
    <x v="1"/>
    <s v="PEP 8011"/>
    <s v="PEP 8011"/>
    <m/>
    <s v="https://discuss.python.org/t/python-governance-vote-december-2018-results/546"/>
    <x v="51"/>
    <n v="3"/>
    <m/>
    <m/>
    <n v="1"/>
    <n v="33"/>
    <n v="24"/>
    <n v="37"/>
    <n v="0.77279747334740434"/>
    <m/>
    <m/>
    <m/>
    <m/>
  </r>
  <r>
    <n v="82"/>
    <s v="Round 5"/>
    <s v="N/A"/>
    <s v="2018-12-17"/>
    <s v="Governance vote: PEP 8016 &quot;The Steering Council Model&quot; selected as Python's post-BDFL governance model"/>
    <m/>
    <x v="1"/>
    <s v="PEP 8012"/>
    <s v="PEP 8012"/>
    <m/>
    <s v="https://discuss.python.org/t/python-governance-vote-december-2018-results/546"/>
    <x v="51"/>
    <n v="3"/>
    <m/>
    <m/>
    <n v="1"/>
    <n v="33"/>
    <n v="22"/>
    <n v="39"/>
    <n v="0.75591825206342622"/>
    <m/>
    <m/>
    <m/>
    <m/>
  </r>
  <r>
    <n v="83"/>
    <s v="Round 5"/>
    <s v="N/A"/>
    <s v="2018-12-17"/>
    <s v="Governance vote: PEP 8016 &quot;The Steering Council Model&quot; selected as Python's post-BDFL governance model"/>
    <m/>
    <x v="0"/>
    <s v="PEP 8016"/>
    <s v="PEP 8016"/>
    <m/>
    <s v="https://discuss.python.org/t/python-governance-vote-december-2018-results/546"/>
    <x v="51"/>
    <n v="3"/>
    <m/>
    <m/>
    <n v="1"/>
    <n v="41"/>
    <n v="18"/>
    <n v="35"/>
    <n v="0.75351898157296937"/>
    <m/>
    <m/>
    <m/>
    <m/>
  </r>
  <r>
    <n v="84"/>
    <s v="Round 6"/>
    <s v="N/A"/>
    <s v="2018-12-17"/>
    <s v="Governance vote: PEP 8016 &quot;The Steering Council Model&quot; selected as Python's post-BDFL governance model"/>
    <m/>
    <x v="1"/>
    <s v="PEP 8012"/>
    <s v="PEP 8012"/>
    <m/>
    <s v="https://discuss.python.org/t/python-governance-vote-december-2018-results/546"/>
    <x v="51"/>
    <n v="2"/>
    <m/>
    <m/>
    <n v="1"/>
    <n v="34"/>
    <n v="28"/>
    <n v="32"/>
    <n v="0.80962968469959351"/>
    <m/>
    <m/>
    <m/>
    <m/>
  </r>
  <r>
    <n v="85"/>
    <s v="Round 6"/>
    <s v="N/A"/>
    <s v="2018-12-17"/>
    <s v="Governance vote: PEP 8016 &quot;The Steering Council Model&quot; selected as Python's post-BDFL governance model"/>
    <m/>
    <x v="0"/>
    <s v="PEP 8016"/>
    <s v="PEP 8016"/>
    <m/>
    <s v="https://discuss.python.org/t/python-governance-vote-december-2018-results/546"/>
    <x v="51"/>
    <n v="2"/>
    <m/>
    <m/>
    <n v="1"/>
    <n v="37"/>
    <n v="20"/>
    <n v="37"/>
    <n v="0.75741393665223677"/>
    <m/>
    <m/>
    <m/>
    <m/>
  </r>
  <r>
    <n v="86"/>
    <s v="Round 7"/>
    <s v="N/A"/>
    <s v="2018-12-17"/>
    <s v="Governance vote: PEP 8016 &quot;The Steering Council Model&quot; selected as Python's post-BDFL governance model"/>
    <m/>
    <x v="0"/>
    <s v="PEP 8016"/>
    <s v="PEP 8016"/>
    <m/>
    <s v="https://discuss.python.org/t/python-governance-vote-december-2018-results/546"/>
    <x v="51"/>
    <n v="1"/>
    <m/>
    <m/>
    <n v="1"/>
    <n v="40"/>
    <n v="22"/>
    <n v="32"/>
    <n v="0.78924412727623006"/>
    <m/>
    <m/>
    <m/>
    <m/>
  </r>
  <r>
    <n v="87"/>
    <m/>
    <s v="N/A"/>
    <s v="2019-10-05"/>
    <s v="&quot;PEP 13 and the number of votes&quot; — discussion/vote on Steering Council ballot rules"/>
    <m/>
    <x v="0"/>
    <s v="13"/>
    <m/>
    <m/>
    <s v="https://discuss.python.org/t/pep-13-and-the-number-of-votes/2416"/>
    <x v="52"/>
    <n v="0"/>
    <m/>
    <m/>
    <n v="1"/>
    <n v="12"/>
    <n v="0"/>
    <n v="0"/>
    <n v="0"/>
    <m/>
    <s v="N/A (No PR linked)"/>
    <s v="Straw Poll"/>
    <m/>
  </r>
  <r>
    <n v="88"/>
    <m/>
    <s v="N/A"/>
    <s v="2019-10-24"/>
    <s v="Amendment to PEP 13 to allow approval voting for Steering Council elections"/>
    <m/>
    <x v="0"/>
    <s v="13"/>
    <m/>
    <m/>
    <s v="https://discuss.python.org/t/amendment-to-pep-13-to-allow-approval-voting/2428"/>
    <x v="53"/>
    <n v="0"/>
    <m/>
    <m/>
    <n v="1"/>
    <n v="32"/>
    <n v="1"/>
    <n v="0"/>
    <n v="0.34283965148438655"/>
    <m/>
    <s v="N/A (No PR linked)"/>
    <s v="Straw Poll"/>
    <m/>
  </r>
  <r>
    <n v="89"/>
    <m/>
    <s v="N/A"/>
    <s v="2020-11-18"/>
    <s v="&quot;Gauging sentiment on pattern matching&quot; — Steering Council straw poll on PEP 634"/>
    <m/>
    <x v="0"/>
    <s v="634"/>
    <s v="Accept PEP 634 as-is"/>
    <m/>
    <s v="https://discuss.python.org/t/gauging-sentiment-on-pattern-matching/5770"/>
    <x v="54"/>
    <n v="4"/>
    <m/>
    <m/>
    <n v="1"/>
    <n v="12"/>
    <n v="15"/>
    <n v="0"/>
    <n v="0.99380798999990649"/>
    <s v="Do nothing is implied (degrees of freedom = 4, not 5)"/>
    <s v="N/A (No PR linked)"/>
    <s v="Straw Poll"/>
    <m/>
  </r>
  <r>
    <n v="90"/>
    <m/>
    <m/>
    <m/>
    <s v="&quot;Gauging sentiment on pattern matching&quot; — Steering Council straw poll on PEP 634"/>
    <m/>
    <x v="1"/>
    <s v="634+640"/>
    <s v="Accept PEP 634 + 640"/>
    <m/>
    <s v="https://discuss.python.org/t/gauging-sentiment-on-pattern-matching/5770"/>
    <x v="54"/>
    <n v="4"/>
    <m/>
    <m/>
    <n v="1"/>
    <n v="3"/>
    <n v="15"/>
    <n v="0"/>
    <n v="0.7453559924999299"/>
    <m/>
    <m/>
    <s v="Straw Poll"/>
    <m/>
  </r>
  <r>
    <n v="91"/>
    <m/>
    <m/>
    <m/>
    <s v="&quot;Gauging sentiment on pattern matching&quot; — Steering Council straw poll on PEP 634"/>
    <m/>
    <x v="1"/>
    <s v="634+642"/>
    <s v="Accept PEP 634 + 642"/>
    <m/>
    <s v="https://discuss.python.org/t/gauging-sentiment-on-pattern-matching/5770"/>
    <x v="54"/>
    <n v="4"/>
    <m/>
    <m/>
    <n v="1"/>
    <n v="2"/>
    <n v="15"/>
    <n v="0"/>
    <n v="0.64437947941784246"/>
    <m/>
    <m/>
    <s v="Straw Poll"/>
    <m/>
  </r>
  <r>
    <n v="92"/>
    <m/>
    <m/>
    <m/>
    <s v="&quot;Gauging sentiment on pattern matching&quot; — Steering Council straw poll on PEP 634"/>
    <m/>
    <x v="1"/>
    <s v="I want pattern matching, but not as defined in those PEPs"/>
    <s v="I want pattern matching, but not as defined in those PEPs"/>
    <m/>
    <s v="https://discuss.python.org/t/gauging-sentiment-on-pattern-matching/5770"/>
    <x v="54"/>
    <n v="4"/>
    <m/>
    <m/>
    <n v="1"/>
    <n v="2"/>
    <n v="15"/>
    <n v="0"/>
    <n v="0.64437947941784246"/>
    <m/>
    <m/>
    <s v="Straw Poll"/>
    <m/>
  </r>
  <r>
    <n v="93"/>
    <m/>
    <s v="N/A"/>
    <s v="2021-02-09"/>
    <s v="Steering Council accepts Pattern Matching PEPs 634/635/636; rejects PEPs 640 and 642"/>
    <m/>
    <x v="0"/>
    <s v="634"/>
    <s v="PEP 634"/>
    <m/>
    <s v="https://mail.python.org/archives/list/python-committers@python.org/message/SQC2FTLFV5A7DV7RCEAR2I2IKJKGK7W3/"/>
    <x v="54"/>
    <n v="5"/>
    <m/>
    <m/>
    <n v="1"/>
    <n v="5"/>
    <n v="0"/>
    <n v="0"/>
    <n v="0"/>
    <s v="Do nothing is implied (degrees of freedom = 5, not 4)"/>
    <s v="N/A (No PR linked)"/>
    <s v="Straw Poll"/>
    <m/>
  </r>
  <r>
    <n v="94"/>
    <m/>
    <s v="N/A"/>
    <s v="2021-02-09"/>
    <s v="Steering Council accepts Pattern Matching PEPs 634/635/636; rejects PEPs 640 and 642"/>
    <m/>
    <x v="1"/>
    <s v="635"/>
    <s v="PEP 635"/>
    <m/>
    <s v="https://mail.python.org/archives/list/python-committers@python.org/message/SQC2FTLFV5A7DV7RCEAR2I2IKJKGK7W3/"/>
    <x v="54"/>
    <n v="5"/>
    <m/>
    <m/>
    <n v="1"/>
    <n v="5"/>
    <n v="0"/>
    <n v="0"/>
    <n v="0"/>
    <m/>
    <s v="N/A (No PR linked)"/>
    <s v="Straw Poll"/>
    <m/>
  </r>
  <r>
    <n v="95"/>
    <m/>
    <s v="N/A"/>
    <s v="2021-02-09"/>
    <s v="Steering Council accepts Pattern Matching PEPs 634/635/636; rejects PEPs 640 and 642"/>
    <m/>
    <x v="1"/>
    <s v="636"/>
    <s v="PEP 636"/>
    <m/>
    <s v="https://mail.python.org/archives/list/python-committers@python.org/message/SQC2FTLFV5A7DV7RCEAR2I2IKJKGK7W3/"/>
    <x v="54"/>
    <n v="5"/>
    <m/>
    <m/>
    <n v="1"/>
    <n v="5"/>
    <n v="0"/>
    <n v="0"/>
    <n v="0"/>
    <m/>
    <s v="N/A (No PR linked)"/>
    <s v="Straw Poll"/>
    <m/>
  </r>
  <r>
    <n v="96"/>
    <m/>
    <s v="N/A"/>
    <s v="2021-02-09"/>
    <s v="Steering Council accepts Pattern Matching PEPs 634/635/636; rejects PEPs 640 and 642"/>
    <m/>
    <x v="1"/>
    <s v="640"/>
    <s v="PEP 640"/>
    <m/>
    <s v="https://mail.python.org/archives/list/python-committers@python.org/message/SQC2FTLFV5A7DV7RCEAR2I2IKJKGK7W3/"/>
    <x v="54"/>
    <n v="5"/>
    <m/>
    <m/>
    <n v="1"/>
    <n v="0"/>
    <n v="5"/>
    <n v="0"/>
    <n v="0"/>
    <m/>
    <s v="N/A (No PR linked)"/>
    <s v="Straw Poll"/>
    <m/>
  </r>
  <r>
    <n v="97"/>
    <m/>
    <s v="N/A"/>
    <s v="2021-02-09"/>
    <s v="Steering Council accepts Pattern Matching PEPs 634/635/636; rejects PEPs 640 and 642"/>
    <m/>
    <x v="1"/>
    <s v="642"/>
    <s v="PEP 642"/>
    <m/>
    <s v="https://mail.python.org/archives/list/python-committers@python.org/message/SQC2FTLFV5A7DV7RCEAR2I2IKJKGK7W3/"/>
    <x v="54"/>
    <n v="5"/>
    <m/>
    <m/>
    <n v="1"/>
    <n v="0"/>
    <n v="5"/>
    <n v="0"/>
    <n v="0"/>
    <m/>
    <s v="N/A (No PR linked)"/>
    <s v="Straw Poll"/>
    <m/>
  </r>
  <r>
    <n v="98"/>
    <m/>
    <s v="N/A"/>
    <s v="2023-06-27"/>
    <s v="Poll: core-dev feedback to the Steering Council on making CPython free-threaded"/>
    <m/>
    <x v="0"/>
    <s v="Conceptually, do you think we should be actively looking to make Python free-threaded?"/>
    <m/>
    <m/>
    <s v="https://discuss.python.org/t/poll-feedback-to-the-sc-on-making-cpython-free-threaded-and-pep-703/28540"/>
    <x v="55"/>
    <n v="3"/>
    <m/>
    <m/>
    <n v="1"/>
    <n v="40"/>
    <n v="6"/>
    <n v="0"/>
    <n v="0.67356232107955083"/>
    <m/>
    <s v="N/A (No PR linked)"/>
    <s v="Straw Poll"/>
    <m/>
  </r>
  <r>
    <n v="99"/>
    <m/>
    <s v="N/A"/>
    <s v="2023-06-27"/>
    <s v="Poll: core-dev feedback to the Steering Council on making CPython free-threaded"/>
    <m/>
    <x v="0"/>
    <s v="Do you want to accept and support the maintenance cost of PEP 703?"/>
    <m/>
    <m/>
    <s v="https://discuss.python.org/t/poll-feedback-to-the-sc-on-making-cpython-free-threaded-and-pep-703/28540"/>
    <x v="55"/>
    <n v="3"/>
    <m/>
    <m/>
    <n v="1"/>
    <n v="24"/>
    <n v="14"/>
    <n v="0"/>
    <n v="0.96475277788544"/>
    <m/>
    <m/>
    <s v="Straw Poll"/>
    <m/>
  </r>
  <r>
    <n v="100"/>
    <m/>
    <s v="N/A"/>
    <s v="2023-10-04"/>
    <s v="PEP 729 &quot;Typing governance process&quot; — creation of the Typing Council discussed/endorsed"/>
    <m/>
    <x v="0"/>
    <s v="729"/>
    <m/>
    <m/>
    <s v="https://discuss.python.org/t/pep-729-typing-governance-process/35362"/>
    <x v="56"/>
    <n v="3"/>
    <m/>
    <m/>
    <n v="1"/>
    <n v="5"/>
    <n v="0"/>
    <n v="0"/>
    <n v="0"/>
    <s v="Steering Council accepted"/>
    <s v="N/A (No PR linked)"/>
    <s v="Straw Poll"/>
    <m/>
  </r>
  <r>
    <n v="101"/>
    <m/>
    <s v="N/A"/>
    <s v="2023-10-24"/>
    <s v="PEP 703 (Making the GIL Optional in CPython) formally accepted by the Steering Council"/>
    <m/>
    <x v="0"/>
    <s v="703"/>
    <m/>
    <m/>
    <s v="https://discuss.python.org/t/pep-703-making-the-global-interpreter-lock-optional-in-cpython-acceptance/37075"/>
    <x v="57"/>
    <n v="3"/>
    <m/>
    <m/>
    <n v="1"/>
    <n v="5"/>
    <n v="0"/>
    <n v="0"/>
    <n v="0"/>
    <m/>
    <s v="N/A (No PR linked)"/>
    <s v="Straw Poll"/>
    <m/>
  </r>
  <r>
    <n v="102"/>
    <m/>
    <s v="N/A"/>
    <s v="2024-09-11"/>
    <s v="&quot;How to enact changes to PEP 13&quot; — poll on adopting STAR voting for Steering Council elections"/>
    <m/>
    <x v="0"/>
    <s v="13"/>
    <m/>
    <m/>
    <s v="https://discuss.python.org/t/how-to-enact-changes-to-pep-13/63636"/>
    <x v="58"/>
    <n v="0"/>
    <m/>
    <m/>
    <n v="1"/>
    <n v="29"/>
    <n v="4"/>
    <n v="0"/>
    <n v="0.6527472493496369"/>
    <m/>
    <s v="N/A (No PR linked)"/>
    <s v="Straw Poll"/>
    <m/>
  </r>
  <r>
    <n v="103"/>
    <m/>
    <s v="N/A"/>
    <s v="2024-09-25"/>
    <s v="&quot;Changing PEP 13 to adopt Bloc STAR voting&quot; — formal poll to replace approval voting"/>
    <m/>
    <x v="0"/>
    <s v="13"/>
    <m/>
    <m/>
    <s v="https://discuss.python.org/t/changing-pep-13-to-adopt-bloc-star-voting/64971"/>
    <x v="59"/>
    <n v="0"/>
    <m/>
    <m/>
    <n v="1"/>
    <n v="47"/>
    <n v="4"/>
    <n v="0"/>
    <n v="0.53769840003145453"/>
    <m/>
    <s v="N/A (No PR linked)"/>
    <s v="Straw Poll"/>
    <m/>
  </r>
  <r>
    <n v="104"/>
    <m/>
    <m/>
    <s v="2024-12-10"/>
    <s v="PEP 13 amendment: added a one-week deadline for seconding a vote of no confidence in a Steering Council member"/>
    <m/>
    <x v="0"/>
    <s v="13 - one week"/>
    <s v="One week deadline"/>
    <s v="One-week deadline"/>
    <s v="https://discuss.python.org/t/72293/4"/>
    <x v="60"/>
    <n v="2"/>
    <m/>
    <m/>
    <n v="1"/>
    <n v="35"/>
    <n v="4"/>
    <n v="0"/>
    <n v="0.60677741365124271"/>
    <m/>
    <m/>
    <s v="Straw Poll"/>
    <m/>
  </r>
  <r>
    <n v="105"/>
    <m/>
    <s v="N/A"/>
    <s v="2024-12-10"/>
    <s v="PEP 13 amendment: added a one-week deadline for seconding a vote of no confidence in a Steering Council member"/>
    <m/>
    <x v="1"/>
    <s v="13 - two week"/>
    <s v="Two week deadline"/>
    <s v="One-week deadline"/>
    <s v="https://discuss.python.org/t/72293/4"/>
    <x v="60"/>
    <n v="2"/>
    <m/>
    <m/>
    <n v="1"/>
    <n v="27"/>
    <n v="4"/>
    <n v="0"/>
    <n v="0.67047128034924275"/>
    <m/>
    <s v="N/A (No PR linked)"/>
    <s v="Straw Poll"/>
    <m/>
  </r>
  <r>
    <n v="106"/>
    <m/>
    <s v="N/A"/>
    <s v="2025-08-25"/>
    <s v="PyPA committer vote process finalized for PEP 772 (Packaging Council governance)"/>
    <m/>
    <x v="0"/>
    <s v="772"/>
    <s v="PEP 772"/>
    <m/>
    <s v="https://mail.python.org/archives/list/pypa-committers@python.org/thread/YNZF25C45KPGZ2DVUOCQ7543B5OATSF6/"/>
    <x v="61"/>
    <n v="6"/>
    <m/>
    <m/>
    <n v="1"/>
    <n v="30"/>
    <n v="0"/>
    <n v="0"/>
    <n v="0"/>
    <m/>
    <s v="N/A (No PR linked)"/>
    <s v="Straw Poll"/>
    <m/>
  </r>
  <r>
    <n v="107"/>
    <m/>
    <s v="N/A"/>
    <s v="2025-10-28"/>
    <s v="&quot;[VOTE] Changing PEP 13 to clarify tiebreaking for SC elections&quot; — formal committer vote (closed Nov 12, 2025)"/>
    <m/>
    <x v="0"/>
    <s v="13"/>
    <m/>
    <m/>
    <s v="https://discuss.python.org/t/vote-changing-pep-13-to-clarify-tiebreaking-for-sc-elections/104607"/>
    <x v="62"/>
    <n v="0"/>
    <m/>
    <m/>
    <n v="1"/>
    <n v="37"/>
    <n v="1"/>
    <n v="0"/>
    <n v="0.32014539633148548"/>
    <m/>
    <s v="N/A (No PR linked)"/>
    <s v="Straw Poll"/>
    <m/>
  </r>
  <r>
    <n v="108"/>
    <m/>
    <s v="N/A"/>
    <s v="2026-04-16"/>
    <s v="Steering Council formally accepts PEP 772, establishing the Python Packaging Council"/>
    <m/>
    <x v="0"/>
    <s v="772"/>
    <s v="PEP 772"/>
    <m/>
    <s v="https://discuss.python.org/t/pep-772-packaging-governance-process/79724_x000a_https://discuss.python.org/t/pep-772-packaging-council-governance-process-round-2/93904_x000a_https://discuss.python.org/t/pep-772-packaging-council-governance-process-round-3/100181"/>
    <x v="63"/>
    <n v="6"/>
    <m/>
    <m/>
    <n v="1"/>
    <n v="5"/>
    <n v="0"/>
    <n v="0"/>
    <n v="0"/>
    <s v="Three rounds of discussion/revisions"/>
    <s v="N/A (No PR linked)"/>
    <s v="Straw Poll"/>
    <m/>
  </r>
  <r>
    <n v="109"/>
    <m/>
    <s v="N/A"/>
    <s v="2026-08-23"/>
    <s v="&quot;Poll: Public/internal handling — what behavior do we want?&quot; — Ideas-category poll shaping PEPs 842, 843 and 844"/>
    <m/>
    <x v="0"/>
    <s v="842-844"/>
    <s v="Through the same interface as public symbols, e.g. module.internal_name (current approach)"/>
    <s v="Access to internal names: How should code outside a module access its internal symbols?"/>
    <s v="https://discuss.python.org/t/poll-public-internal-handling-what-behavior-do-we-want/108706"/>
    <x v="64"/>
    <n v="4"/>
    <m/>
    <m/>
    <n v="1"/>
    <n v="49"/>
    <n v="47"/>
    <n v="0"/>
    <n v="0.99978296255848564"/>
    <m/>
    <s v="N/A (No PR linked)"/>
    <s v="Straw Poll"/>
    <m/>
  </r>
  <r>
    <n v="110"/>
    <m/>
    <s v="N/A"/>
    <s v="2026-08-23"/>
    <s v="&quot;Poll: Public/internal handling — what behavior do we want?&quot; — Ideas-category poll shaping PEPs 842, 843 and 844"/>
    <m/>
    <x v="1"/>
    <s v="842-844"/>
    <s v="Internal symbols should not be externally accessible"/>
    <s v="Access to internal names: How should code outside a module access its internal symbols?"/>
    <s v="https://discuss.python.org/t/poll-public-internal-handling-what-behavior-do-we-want/108706"/>
    <x v="64"/>
    <n v="4"/>
    <m/>
    <m/>
    <n v="1"/>
    <n v="32"/>
    <n v="64"/>
    <n v="0"/>
    <n v="0.94280904158206336"/>
    <m/>
    <s v="N/A (No PR linked)"/>
    <s v="Straw Poll"/>
    <m/>
  </r>
  <r>
    <n v="111"/>
    <m/>
    <s v="N/A"/>
    <s v="2026-08-23"/>
    <s v="&quot;Poll: Public/internal handling — what behavior do we want?&quot; — Ideas-category poll shaping PEPs 842, 843 and 844"/>
    <m/>
    <x v="1"/>
    <s v="842-844"/>
    <s v="Through the same interface as public symbols, e.g. module.internal_name (current approach)"/>
    <s v="Access to internal names: How should code outside a module access its internal symbols?"/>
    <s v="https://discuss.python.org/t/poll-public-internal-handling-what-behavior-do-we-want/108706"/>
    <x v="64"/>
    <n v="4"/>
    <m/>
    <m/>
    <n v="1"/>
    <n v="6"/>
    <n v="90"/>
    <n v="0"/>
    <n v="0.48412291827592713"/>
    <m/>
    <s v="N/A (No PR linked)"/>
    <s v="Straw Poll"/>
    <m/>
  </r>
  <r>
    <n v="112"/>
    <m/>
    <m/>
    <s v="2026-08-23"/>
    <s v="&quot;Poll: Public/internal handling — what behavior do we want?&quot; — Ideas-category poll shaping PEPs 842, 843 and 844"/>
    <m/>
    <x v="1"/>
    <s v="842-844"/>
    <s v="Other"/>
    <s v="Access to internal names: How should code outside a module access its internal symbols?"/>
    <s v="https://discuss.python.org/t/poll-public-internal-handling-what-behavior-do-we-want/108706"/>
    <x v="64"/>
    <n v="4"/>
    <m/>
    <m/>
    <n v="1"/>
    <n v="5"/>
    <n v="91"/>
    <n v="0"/>
    <n v="0.44439018766044874"/>
    <m/>
    <m/>
    <s v="Straw Poll"/>
    <m/>
  </r>
  <r>
    <n v="113"/>
    <m/>
    <m/>
    <s v="2026-08-23"/>
    <s v="&quot;Poll: Public/internal handling — what behavior do we want?&quot; — Ideas-category poll shaping PEPs 842, 843 and 844"/>
    <m/>
    <x v="1"/>
    <s v="842-844"/>
    <s v="No preference"/>
    <s v="Access to internal names: How should code outside a module access its internal symbols?"/>
    <s v="https://discuss.python.org/t/poll-public-internal-handling-what-behavior-do-we-want/108706"/>
    <x v="64"/>
    <n v="4"/>
    <m/>
    <m/>
    <n v="1"/>
    <n v="4"/>
    <n v="92"/>
    <n v="0"/>
    <n v="0.39965262694272674"/>
    <m/>
    <m/>
    <s v="Straw Poll"/>
    <m/>
  </r>
  <r>
    <n v="114"/>
    <m/>
    <m/>
    <s v="2026-08-23"/>
    <s v="&quot;Poll: Public/internal handling — what behavior do we want?&quot; — Ideas-category poll shaping PEPs 842, 843 and 844"/>
    <m/>
    <x v="0"/>
    <s v="842-844"/>
    <s v="Internal-by-default, with public names explicitly marked"/>
    <s v="Default visibility: Should names (e.g. declared functions) be"/>
    <s v="https://discuss.python.org/t/poll-public-internal-handling-what-behavior-do-we-want/108706"/>
    <x v="64"/>
    <n v="5"/>
    <m/>
    <m/>
    <n v="1"/>
    <n v="31"/>
    <n v="59"/>
    <n v="0"/>
    <n v="0.95037354579302646"/>
    <m/>
    <m/>
    <s v="Straw Poll"/>
    <m/>
  </r>
  <r>
    <n v="115"/>
    <m/>
    <m/>
    <s v="2026-08-23"/>
    <s v="&quot;Poll: Public/internal handling — what behavior do we want?&quot; — Ideas-category poll shaping PEPs 842, 843 and 844"/>
    <m/>
    <x v="1"/>
    <s v="842-844"/>
    <s v="Public-by-default, with internal names explicitly marked"/>
    <s v="Default visibility: Should names (e.g. declared functions) be"/>
    <s v="https://discuss.python.org/t/poll-public-internal-handling-what-behavior-do-we-want/108706"/>
    <x v="64"/>
    <n v="5"/>
    <m/>
    <m/>
    <n v="1"/>
    <n v="29"/>
    <n v="61"/>
    <n v="0"/>
    <n v="0.93465514865835964"/>
    <m/>
    <m/>
    <s v="Straw Poll"/>
    <m/>
  </r>
  <r>
    <n v="116"/>
    <m/>
    <m/>
    <s v="2026-08-23"/>
    <s v="&quot;Poll: Public/internal handling — what behavior do we want?&quot; — Ideas-category poll shaping PEPs 842, 843 and 844"/>
    <m/>
    <x v="1"/>
    <s v="842-844"/>
    <s v="Internal-by-default and public-by-default should both be possible, configurable per module"/>
    <s v="Default visibility: Should names (e.g. declared functions) be"/>
    <s v="https://discuss.python.org/t/poll-public-internal-handling-what-behavior-do-we-want/108706"/>
    <x v="64"/>
    <n v="5"/>
    <m/>
    <m/>
    <n v="1"/>
    <n v="17"/>
    <n v="73"/>
    <n v="0"/>
    <n v="0.78284066461371282"/>
    <m/>
    <m/>
    <s v="Straw Poll"/>
    <m/>
  </r>
  <r>
    <n v="117"/>
    <m/>
    <m/>
    <s v="2026-08-23"/>
    <s v="&quot;Poll: Public/internal handling — what behavior do we want?&quot; — Ideas-category poll shaping PEPs 842, 843 and 844"/>
    <m/>
    <x v="1"/>
    <s v="842-844"/>
    <s v="Other"/>
    <s v="Default visibility: Should names (e.g. declared functions) be"/>
    <s v="https://discuss.python.org/t/poll-public-internal-handling-what-behavior-do-we-want/108706"/>
    <x v="64"/>
    <n v="5"/>
    <m/>
    <m/>
    <n v="1"/>
    <n v="11"/>
    <n v="79"/>
    <n v="0"/>
    <n v="0.65508457657705221"/>
    <m/>
    <m/>
    <s v="Straw Poll"/>
    <m/>
  </r>
  <r>
    <n v="118"/>
    <m/>
    <m/>
    <s v="2026-08-23"/>
    <s v="&quot;Poll: Public/internal handling — what behavior do we want?&quot; — Ideas-category poll shaping PEPs 842, 843 and 844"/>
    <m/>
    <x v="1"/>
    <s v="842-844"/>
    <s v="Neither: every name explicitly classified"/>
    <s v="Default visibility: Should names (e.g. declared functions) be"/>
    <s v="https://discuss.python.org/t/poll-public-internal-handling-what-behavior-do-we-want/108706"/>
    <x v="64"/>
    <n v="5"/>
    <m/>
    <m/>
    <n v="1"/>
    <n v="1"/>
    <n v="89"/>
    <n v="0"/>
    <n v="0.20964402515681355"/>
    <m/>
    <m/>
    <s v="Straw Poll"/>
    <m/>
  </r>
  <r>
    <n v="119"/>
    <m/>
    <m/>
    <s v="2026-08-23"/>
    <s v="&quot;Poll: Public/internal handling — what behavior do we want?&quot; — Ideas-category poll shaping PEPs 842, 843 and 844"/>
    <m/>
    <x v="1"/>
    <s v="842-844"/>
    <s v="No preference"/>
    <s v="Default visibility: Should names (e.g. declared functions) be"/>
    <s v="https://discuss.python.org/t/poll-public-internal-handling-what-behavior-do-we-want/108706"/>
    <x v="64"/>
    <n v="5"/>
    <m/>
    <m/>
    <n v="1"/>
    <n v="1"/>
    <n v="89"/>
    <n v="0"/>
    <n v="0.20964402515681355"/>
    <m/>
    <m/>
    <s v="Straw Poll"/>
    <m/>
  </r>
  <r>
    <n v="120"/>
    <m/>
    <m/>
    <s v="2026-08-23"/>
    <s v="&quot;Poll: Public/internal handling — what behavior do we want?&quot; — Ideas-category poll shaping PEPs 842, 843 and 844"/>
    <m/>
    <x v="0"/>
    <s v="842-844"/>
    <s v="Locally next to the definitions"/>
    <s v="Where/how should the public/internal distinction be declared?"/>
    <s v="https://discuss.python.org/t/poll-public-internal-handling-what-behavior-do-we-want/108706"/>
    <x v="64"/>
    <n v="5"/>
    <m/>
    <m/>
    <n v="1"/>
    <n v="45"/>
    <n v="41"/>
    <n v="0"/>
    <n v="0.99891774860067584"/>
    <m/>
    <m/>
    <s v="Straw Poll"/>
    <m/>
  </r>
  <r>
    <n v="121"/>
    <m/>
    <m/>
    <s v="2026-08-23"/>
    <s v="&quot;Poll: Public/internal handling — what behavior do we want?&quot; — Ideas-category poll shaping PEPs 842, 843 and 844"/>
    <m/>
    <x v="1"/>
    <s v="842-844"/>
    <s v="Both central and local declarations can be mixed"/>
    <s v="Where/how should the public/internal distinction be declared?"/>
    <s v="https://discuss.python.org/t/poll-public-internal-handling-what-behavior-do-we-want/108706"/>
    <x v="64"/>
    <n v="5"/>
    <m/>
    <m/>
    <n v="1"/>
    <n v="15"/>
    <n v="71"/>
    <n v="0"/>
    <n v="0.75893808707352184"/>
    <m/>
    <m/>
    <s v="Straw Poll"/>
    <m/>
  </r>
  <r>
    <n v="122"/>
    <m/>
    <m/>
    <s v="2026-08-23"/>
    <s v="&quot;Poll: Public/internal handling — what behavior do we want?&quot; — Ideas-category poll shaping PEPs 842, 843 and 844"/>
    <m/>
    <x v="1"/>
    <s v="842-844"/>
    <s v="Centrally at the top of the module"/>
    <s v="Where/how should the public/internal distinction be declared?"/>
    <s v="https://discuss.python.org/t/poll-public-internal-handling-what-behavior-do-we-want/108706"/>
    <x v="64"/>
    <n v="5"/>
    <m/>
    <m/>
    <n v="1"/>
    <n v="9"/>
    <n v="77"/>
    <n v="0"/>
    <n v="0.61220681772503183"/>
    <m/>
    <m/>
    <s v="Straw Poll"/>
    <m/>
  </r>
  <r>
    <n v="123"/>
    <m/>
    <m/>
    <s v="2026-08-23"/>
    <s v="&quot;Poll: Public/internal handling — what behavior do we want?&quot; — Ideas-category poll shaping PEPs 842, 843 and 844"/>
    <m/>
    <x v="1"/>
    <s v="842-844"/>
    <s v="Other"/>
    <s v="Where/how should the public/internal distinction be declared?"/>
    <s v="https://discuss.python.org/t/poll-public-internal-handling-what-behavior-do-we-want/108706"/>
    <x v="64"/>
    <n v="5"/>
    <m/>
    <m/>
    <n v="1"/>
    <n v="8"/>
    <n v="78"/>
    <n v="0"/>
    <n v="0.58093004636264167"/>
    <m/>
    <m/>
    <s v="Straw Poll"/>
    <m/>
  </r>
  <r>
    <n v="124"/>
    <m/>
    <m/>
    <s v="2026-08-23"/>
    <s v="&quot;Poll: Public/internal handling — what behavior do we want?&quot; — Ideas-category poll shaping PEPs 842, 843 and 844"/>
    <m/>
    <x v="1"/>
    <s v="842-844"/>
    <s v="No preference"/>
    <s v="Where/how should the public/internal distinction be declared?"/>
    <s v="https://discuss.python.org/t/poll-public-internal-handling-what-behavior-do-we-want/108706"/>
    <x v="64"/>
    <n v="5"/>
    <m/>
    <m/>
    <n v="1"/>
    <n v="6"/>
    <n v="80"/>
    <n v="0"/>
    <n v="0.50950935581875922"/>
    <m/>
    <m/>
    <s v="Straw Poll"/>
    <m/>
  </r>
  <r>
    <n v="125"/>
    <m/>
    <m/>
    <s v="2026-08-23"/>
    <s v="&quot;Poll: Public/internal handling — what behavior do we want?&quot; — Ideas-category poll shaping PEPs 842, 843 and 844"/>
    <m/>
    <x v="1"/>
    <s v="842-844"/>
    <s v="Configurable per module"/>
    <s v="Where/how should the public/internal distinction be declared?"/>
    <s v="https://discuss.python.org/t/poll-public-internal-handling-what-behavior-do-we-want/108706"/>
    <x v="64"/>
    <n v="5"/>
    <m/>
    <m/>
    <n v="1"/>
    <n v="3"/>
    <n v="83"/>
    <n v="0"/>
    <n v="0.36697055437347681"/>
    <m/>
    <m/>
    <s v="Straw Poll"/>
    <m/>
  </r>
  <r>
    <n v="126"/>
    <m/>
    <m/>
    <s v="2026-08-23"/>
    <s v="&quot;Poll: Public/internal handling — what behavior do we want?&quot; — Ideas-category poll shaping PEPs 842, 843 and 844"/>
    <m/>
    <x v="0"/>
    <s v="842-844"/>
    <s v="Yes, same-package modules can directly access each other’s internals"/>
    <s v="Should modules in the same package get direct access to each other’s internals?"/>
    <s v="https://discuss.python.org/t/poll-public-internal-handling-what-behavior-do-we-want/108706"/>
    <x v="64"/>
    <n v="4"/>
    <m/>
    <m/>
    <n v="1"/>
    <n v="39"/>
    <n v="51"/>
    <n v="0"/>
    <n v="0.99107124982123374"/>
    <m/>
    <m/>
    <s v="Straw Poll"/>
    <m/>
  </r>
  <r>
    <n v="127"/>
    <m/>
    <m/>
    <s v="2026-08-23"/>
    <s v="&quot;Poll: Public/internal handling — what behavior do we want?&quot; — Ideas-category poll shaping PEPs 842, 843 and 844"/>
    <m/>
    <x v="1"/>
    <s v="842-844"/>
    <s v="No, internals should be module-level scoped. Other same-package modules will need to go through the same opt-in mechanism for internal access just like any other external code"/>
    <s v="Should modules in the same package get direct access to each other’s internals?"/>
    <s v="https://discuss.python.org/t/poll-public-internal-handling-what-behavior-do-we-want/108706"/>
    <x v="64"/>
    <n v="4"/>
    <m/>
    <m/>
    <n v="1"/>
    <n v="22"/>
    <n v="68"/>
    <n v="0"/>
    <n v="0.85951464914727638"/>
    <m/>
    <m/>
    <s v="Straw Poll"/>
    <m/>
  </r>
  <r>
    <n v="128"/>
    <m/>
    <m/>
    <s v="2026-08-23"/>
    <s v="&quot;Poll: Public/internal handling — what behavior do we want?&quot; — Ideas-category poll shaping PEPs 842, 843 and 844"/>
    <m/>
    <x v="1"/>
    <s v="842-844"/>
    <s v="Introduce a separate package-internal visibility level, distinct from public and module-internal"/>
    <s v="Should modules in the same package get direct access to each other’s internals?"/>
    <s v="https://discuss.python.org/t/poll-public-internal-handling-what-behavior-do-we-want/108706"/>
    <x v="64"/>
    <n v="4"/>
    <m/>
    <m/>
    <n v="1"/>
    <n v="18"/>
    <n v="72"/>
    <n v="0"/>
    <n v="0.8"/>
    <m/>
    <m/>
    <s v="Straw Poll"/>
    <m/>
  </r>
  <r>
    <n v="129"/>
    <m/>
    <m/>
    <s v="2026-08-23"/>
    <s v="&quot;Poll: Public/internal handling — what behavior do we want?&quot; — Ideas-category poll shaping PEPs 842, 843 and 844"/>
    <m/>
    <x v="1"/>
    <s v="842-844"/>
    <s v="No preference"/>
    <s v="Should modules in the same package get direct access to each other’s internals?"/>
    <s v="https://discuss.python.org/t/poll-public-internal-handling-what-behavior-do-we-want/108706"/>
    <x v="64"/>
    <n v="4"/>
    <m/>
    <m/>
    <n v="1"/>
    <n v="6"/>
    <n v="84"/>
    <n v="0"/>
    <n v="0.49888765156985881"/>
    <m/>
    <m/>
    <s v="Straw Poll"/>
    <m/>
  </r>
  <r>
    <n v="130"/>
    <m/>
    <m/>
    <s v="2026-08-23"/>
    <s v="&quot;Poll: Public/internal handling — what behavior do we want?&quot; — Ideas-category poll shaping PEPs 842, 843 and 844"/>
    <m/>
    <x v="1"/>
    <s v="842-844"/>
    <s v="Other"/>
    <s v="Should modules in the same package get direct access to each other’s internals?"/>
    <s v="https://discuss.python.org/t/poll-public-internal-handling-what-behavior-do-we-want/108706"/>
    <x v="64"/>
    <n v="4"/>
    <m/>
    <m/>
    <n v="1"/>
    <n v="5"/>
    <n v="85"/>
    <n v="0"/>
    <n v="0.45812284729085123"/>
    <m/>
    <m/>
    <s v="Straw Poll"/>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4D941-4FEA-BC4E-A7C3-86422788262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4">
    <pivotField dataField="1"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2"/>
  </colFields>
  <colItems count="2">
    <i>
      <x/>
    </i>
    <i i="1">
      <x v="1"/>
    </i>
  </colItems>
  <dataFields count="2">
    <dataField name="Sum of Episode #" fld="0" baseField="0" baseItem="0"/>
    <dataField name="Count of Episode #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hyperlink" Target="https://discuss.python.org/t/pep-772-packaging-governance-process/79724" TargetMode="External"/><Relationship Id="rId1" Type="http://schemas.openxmlformats.org/officeDocument/2006/relationships/hyperlink" Target="https://mail.python.org/archives/list/pypa-committers@python.org/thread/YNZF25C45KPGZ2DVUOCQ7543B5OATSF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EA6B-DA8A-764F-B3CA-0E1881D26B02}">
  <dimension ref="A3:C6"/>
  <sheetViews>
    <sheetView workbookViewId="0">
      <selection activeCell="C6" sqref="C6"/>
    </sheetView>
  </sheetViews>
  <sheetFormatPr baseColWidth="10" defaultRowHeight="15" x14ac:dyDescent="0.2"/>
  <cols>
    <col min="1" max="1" width="12.1640625" bestFit="1" customWidth="1"/>
    <col min="2" max="2" width="13.83203125" bestFit="1" customWidth="1"/>
    <col min="3" max="3" width="16.33203125" bestFit="1" customWidth="1"/>
  </cols>
  <sheetData>
    <row r="3" spans="1:3" x14ac:dyDescent="0.2">
      <c r="A3" s="7" t="s">
        <v>414</v>
      </c>
      <c r="B3" t="s">
        <v>416</v>
      </c>
      <c r="C3" t="s">
        <v>417</v>
      </c>
    </row>
    <row r="4" spans="1:3" x14ac:dyDescent="0.2">
      <c r="A4" s="8" t="s">
        <v>375</v>
      </c>
      <c r="B4">
        <v>4731</v>
      </c>
      <c r="C4">
        <v>53</v>
      </c>
    </row>
    <row r="5" spans="1:3" x14ac:dyDescent="0.2">
      <c r="A5" s="8" t="s">
        <v>374</v>
      </c>
      <c r="B5">
        <v>3784</v>
      </c>
      <c r="C5">
        <v>77</v>
      </c>
    </row>
    <row r="6" spans="1:3" x14ac:dyDescent="0.2">
      <c r="A6" s="8" t="s">
        <v>415</v>
      </c>
      <c r="B6">
        <v>8515</v>
      </c>
      <c r="C6">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131"/>
  <sheetViews>
    <sheetView tabSelected="1" topLeftCell="E1" workbookViewId="0">
      <pane ySplit="1" topLeftCell="A105" activePane="bottomLeft" state="frozen"/>
      <selection pane="bottomLeft" activeCell="L90" sqref="L90"/>
    </sheetView>
  </sheetViews>
  <sheetFormatPr baseColWidth="10" defaultColWidth="8.83203125" defaultRowHeight="15" x14ac:dyDescent="0.2"/>
  <cols>
    <col min="5" max="5" width="105.6640625" bestFit="1" customWidth="1"/>
    <col min="6" max="7" width="16.5" customWidth="1"/>
    <col min="12" max="12" width="76.6640625" customWidth="1"/>
    <col min="13" max="13" width="100.5" bestFit="1" customWidth="1"/>
    <col min="14" max="14" width="12.6640625" bestFit="1" customWidth="1"/>
    <col min="15" max="15" width="21.33203125" bestFit="1" customWidth="1"/>
    <col min="16" max="16" width="20.1640625" bestFit="1" customWidth="1"/>
    <col min="17" max="17" width="7.6640625" bestFit="1" customWidth="1"/>
    <col min="18" max="18" width="8" bestFit="1" customWidth="1"/>
    <col min="19" max="19" width="7.83203125" bestFit="1" customWidth="1"/>
    <col min="20" max="20" width="11.33203125" bestFit="1" customWidth="1"/>
    <col min="21" max="21" width="15.6640625" bestFit="1" customWidth="1"/>
    <col min="22" max="22" width="11.33203125" customWidth="1"/>
    <col min="24" max="24" width="14.5" bestFit="1" customWidth="1"/>
    <col min="25" max="25" width="23.83203125" bestFit="1" customWidth="1"/>
  </cols>
  <sheetData>
    <row r="1" spans="1:25" x14ac:dyDescent="0.2">
      <c r="A1" t="s">
        <v>345</v>
      </c>
      <c r="B1" t="s">
        <v>344</v>
      </c>
      <c r="C1" t="s">
        <v>0</v>
      </c>
      <c r="D1" t="s">
        <v>1</v>
      </c>
      <c r="E1" t="s">
        <v>2</v>
      </c>
      <c r="F1" t="s">
        <v>372</v>
      </c>
      <c r="G1" t="s">
        <v>373</v>
      </c>
      <c r="H1" t="s">
        <v>3</v>
      </c>
      <c r="I1" t="s">
        <v>402</v>
      </c>
      <c r="J1" t="s">
        <v>427</v>
      </c>
      <c r="K1" t="s">
        <v>358</v>
      </c>
      <c r="L1" t="s">
        <v>4</v>
      </c>
      <c r="M1" t="s">
        <v>321</v>
      </c>
      <c r="N1" t="s">
        <v>313</v>
      </c>
      <c r="O1" t="s">
        <v>384</v>
      </c>
      <c r="P1" t="s">
        <v>385</v>
      </c>
      <c r="Q1" t="s">
        <v>309</v>
      </c>
      <c r="R1" t="s">
        <v>7</v>
      </c>
      <c r="S1" t="s">
        <v>8</v>
      </c>
      <c r="T1" t="s">
        <v>9</v>
      </c>
      <c r="U1" t="s">
        <v>369</v>
      </c>
      <c r="V1" t="s">
        <v>314</v>
      </c>
      <c r="W1" t="s">
        <v>10</v>
      </c>
      <c r="X1" t="s">
        <v>5</v>
      </c>
      <c r="Y1" t="s">
        <v>6</v>
      </c>
    </row>
    <row r="2" spans="1:25" hidden="1" x14ac:dyDescent="0.2">
      <c r="A2">
        <v>1</v>
      </c>
      <c r="C2">
        <v>3</v>
      </c>
      <c r="D2" t="s">
        <v>13</v>
      </c>
      <c r="E2" t="s">
        <v>14</v>
      </c>
      <c r="G2" t="s">
        <v>374</v>
      </c>
      <c r="H2" t="s">
        <v>15</v>
      </c>
      <c r="J2" t="s">
        <v>428</v>
      </c>
      <c r="L2" t="s">
        <v>16</v>
      </c>
      <c r="M2" t="s">
        <v>380</v>
      </c>
      <c r="N2">
        <v>0</v>
      </c>
      <c r="Q2">
        <v>1</v>
      </c>
      <c r="R2">
        <v>5</v>
      </c>
      <c r="S2">
        <v>0</v>
      </c>
      <c r="T2">
        <v>0</v>
      </c>
      <c r="U2">
        <f>SQRT(((R2+S2) / (R2+S2+T2)) - ((R2-S2) / (R2+S2+T2))^2)</f>
        <v>0</v>
      </c>
      <c r="W2" t="s">
        <v>17</v>
      </c>
      <c r="X2" t="s">
        <v>11</v>
      </c>
      <c r="Y2" t="s">
        <v>310</v>
      </c>
    </row>
    <row r="3" spans="1:25" hidden="1" x14ac:dyDescent="0.2">
      <c r="A3">
        <v>2</v>
      </c>
      <c r="C3">
        <v>5</v>
      </c>
      <c r="D3" t="s">
        <v>18</v>
      </c>
      <c r="E3" t="s">
        <v>19</v>
      </c>
      <c r="G3" t="s">
        <v>374</v>
      </c>
      <c r="H3" t="s">
        <v>15</v>
      </c>
      <c r="J3" t="s">
        <v>428</v>
      </c>
      <c r="L3" t="s">
        <v>20</v>
      </c>
      <c r="M3" t="s">
        <v>367</v>
      </c>
      <c r="N3">
        <v>0</v>
      </c>
      <c r="Q3">
        <v>1</v>
      </c>
      <c r="R3">
        <v>5</v>
      </c>
      <c r="S3">
        <v>0</v>
      </c>
      <c r="T3">
        <v>0</v>
      </c>
      <c r="U3">
        <f t="shared" ref="U3:U66" si="0">SQRT(((R3+S3) / (R3+S3+T3)) - ((R3-S3) / (R3+S3+T3))^2)</f>
        <v>0</v>
      </c>
      <c r="W3" t="s">
        <v>21</v>
      </c>
      <c r="X3" t="s">
        <v>11</v>
      </c>
      <c r="Y3" t="s">
        <v>310</v>
      </c>
    </row>
    <row r="4" spans="1:25" hidden="1" x14ac:dyDescent="0.2">
      <c r="A4">
        <v>3</v>
      </c>
      <c r="C4">
        <v>7</v>
      </c>
      <c r="D4" t="s">
        <v>22</v>
      </c>
      <c r="E4" t="s">
        <v>23</v>
      </c>
      <c r="G4" t="s">
        <v>374</v>
      </c>
      <c r="H4" t="s">
        <v>15</v>
      </c>
      <c r="J4" t="s">
        <v>428</v>
      </c>
      <c r="L4" t="s">
        <v>24</v>
      </c>
      <c r="M4" t="s">
        <v>381</v>
      </c>
      <c r="N4">
        <v>0</v>
      </c>
      <c r="Q4">
        <v>1</v>
      </c>
      <c r="R4">
        <v>5</v>
      </c>
      <c r="S4">
        <v>0</v>
      </c>
      <c r="T4">
        <v>0</v>
      </c>
      <c r="U4">
        <f t="shared" si="0"/>
        <v>0</v>
      </c>
      <c r="W4" t="s">
        <v>12</v>
      </c>
      <c r="X4" t="s">
        <v>11</v>
      </c>
      <c r="Y4" t="s">
        <v>310</v>
      </c>
    </row>
    <row r="5" spans="1:25" hidden="1" x14ac:dyDescent="0.2">
      <c r="A5">
        <v>4</v>
      </c>
      <c r="C5">
        <v>8</v>
      </c>
      <c r="D5" t="s">
        <v>22</v>
      </c>
      <c r="E5" t="s">
        <v>25</v>
      </c>
      <c r="G5" t="s">
        <v>374</v>
      </c>
      <c r="H5" t="s">
        <v>15</v>
      </c>
      <c r="J5" t="s">
        <v>428</v>
      </c>
      <c r="L5" t="s">
        <v>26</v>
      </c>
      <c r="M5" t="s">
        <v>28</v>
      </c>
      <c r="N5">
        <v>0</v>
      </c>
      <c r="Q5">
        <v>1</v>
      </c>
      <c r="R5">
        <v>5</v>
      </c>
      <c r="S5">
        <v>0</v>
      </c>
      <c r="T5">
        <v>0</v>
      </c>
      <c r="U5">
        <f t="shared" si="0"/>
        <v>0</v>
      </c>
      <c r="W5" t="s">
        <v>27</v>
      </c>
      <c r="X5" t="s">
        <v>11</v>
      </c>
      <c r="Y5" t="s">
        <v>311</v>
      </c>
    </row>
    <row r="6" spans="1:25" hidden="1" x14ac:dyDescent="0.2">
      <c r="A6">
        <v>5</v>
      </c>
      <c r="C6">
        <v>9</v>
      </c>
      <c r="D6" t="s">
        <v>29</v>
      </c>
      <c r="E6" t="s">
        <v>30</v>
      </c>
      <c r="G6" t="s">
        <v>374</v>
      </c>
      <c r="H6" t="s">
        <v>15</v>
      </c>
      <c r="J6" t="s">
        <v>428</v>
      </c>
      <c r="L6" t="s">
        <v>31</v>
      </c>
      <c r="M6" t="s">
        <v>33</v>
      </c>
      <c r="N6">
        <v>0</v>
      </c>
      <c r="Q6">
        <v>1</v>
      </c>
      <c r="R6">
        <v>5</v>
      </c>
      <c r="S6">
        <v>0</v>
      </c>
      <c r="T6">
        <v>0</v>
      </c>
      <c r="U6">
        <f t="shared" si="0"/>
        <v>0</v>
      </c>
      <c r="W6" t="s">
        <v>32</v>
      </c>
      <c r="X6" t="s">
        <v>11</v>
      </c>
      <c r="Y6" t="s">
        <v>311</v>
      </c>
    </row>
    <row r="7" spans="1:25" hidden="1" x14ac:dyDescent="0.2">
      <c r="A7">
        <v>6</v>
      </c>
      <c r="C7">
        <v>10</v>
      </c>
      <c r="D7" t="s">
        <v>34</v>
      </c>
      <c r="E7" t="s">
        <v>35</v>
      </c>
      <c r="G7" t="s">
        <v>374</v>
      </c>
      <c r="H7">
        <v>724</v>
      </c>
      <c r="J7" t="s">
        <v>428</v>
      </c>
      <c r="L7" t="s">
        <v>36</v>
      </c>
      <c r="M7" t="s">
        <v>37</v>
      </c>
      <c r="N7">
        <v>1</v>
      </c>
      <c r="Q7">
        <v>1</v>
      </c>
      <c r="R7">
        <v>2</v>
      </c>
      <c r="S7">
        <v>3</v>
      </c>
      <c r="T7">
        <v>0</v>
      </c>
      <c r="U7">
        <f t="shared" si="0"/>
        <v>0.9797958971132712</v>
      </c>
      <c r="V7" t="s">
        <v>315</v>
      </c>
      <c r="W7" t="s">
        <v>12</v>
      </c>
      <c r="X7" t="s">
        <v>11</v>
      </c>
      <c r="Y7" t="s">
        <v>312</v>
      </c>
    </row>
    <row r="8" spans="1:25" hidden="1" x14ac:dyDescent="0.2">
      <c r="A8">
        <v>7</v>
      </c>
      <c r="C8">
        <v>11</v>
      </c>
      <c r="D8" t="s">
        <v>38</v>
      </c>
      <c r="E8" t="s">
        <v>39</v>
      </c>
      <c r="G8" t="s">
        <v>374</v>
      </c>
      <c r="H8" t="s">
        <v>15</v>
      </c>
      <c r="J8" t="s">
        <v>428</v>
      </c>
      <c r="L8" t="s">
        <v>40</v>
      </c>
      <c r="M8" t="s">
        <v>42</v>
      </c>
      <c r="N8">
        <v>0</v>
      </c>
      <c r="Q8">
        <v>1</v>
      </c>
      <c r="R8">
        <v>5</v>
      </c>
      <c r="S8">
        <v>0</v>
      </c>
      <c r="T8">
        <v>0</v>
      </c>
      <c r="U8">
        <f t="shared" si="0"/>
        <v>0</v>
      </c>
      <c r="W8" t="s">
        <v>41</v>
      </c>
      <c r="X8" t="s">
        <v>11</v>
      </c>
      <c r="Y8" t="s">
        <v>311</v>
      </c>
    </row>
    <row r="9" spans="1:25" hidden="1" x14ac:dyDescent="0.2">
      <c r="A9">
        <v>8</v>
      </c>
      <c r="C9">
        <v>12</v>
      </c>
      <c r="D9" t="s">
        <v>43</v>
      </c>
      <c r="E9" t="s">
        <v>44</v>
      </c>
      <c r="G9" t="s">
        <v>374</v>
      </c>
      <c r="H9">
        <v>696</v>
      </c>
      <c r="J9" t="s">
        <v>428</v>
      </c>
      <c r="L9" t="s">
        <v>45</v>
      </c>
      <c r="M9" t="s">
        <v>46</v>
      </c>
      <c r="N9">
        <v>5</v>
      </c>
      <c r="Q9">
        <v>1</v>
      </c>
      <c r="R9">
        <v>5</v>
      </c>
      <c r="S9">
        <v>0</v>
      </c>
      <c r="T9">
        <v>0</v>
      </c>
      <c r="U9">
        <f t="shared" si="0"/>
        <v>0</v>
      </c>
      <c r="W9" t="s">
        <v>12</v>
      </c>
      <c r="X9" t="s">
        <v>11</v>
      </c>
      <c r="Y9" t="s">
        <v>310</v>
      </c>
    </row>
    <row r="10" spans="1:25" hidden="1" x14ac:dyDescent="0.2">
      <c r="A10">
        <v>9</v>
      </c>
      <c r="C10">
        <v>13</v>
      </c>
      <c r="D10" t="s">
        <v>43</v>
      </c>
      <c r="E10" t="s">
        <v>47</v>
      </c>
      <c r="G10" t="s">
        <v>374</v>
      </c>
      <c r="H10" t="s">
        <v>15</v>
      </c>
      <c r="J10" t="s">
        <v>428</v>
      </c>
      <c r="L10" t="s">
        <v>48</v>
      </c>
      <c r="M10" t="s">
        <v>50</v>
      </c>
      <c r="N10">
        <v>0</v>
      </c>
      <c r="Q10">
        <v>1</v>
      </c>
      <c r="R10">
        <v>5</v>
      </c>
      <c r="S10">
        <v>0</v>
      </c>
      <c r="T10">
        <v>0</v>
      </c>
      <c r="U10">
        <f t="shared" si="0"/>
        <v>0</v>
      </c>
      <c r="W10" t="s">
        <v>49</v>
      </c>
      <c r="X10" t="s">
        <v>11</v>
      </c>
      <c r="Y10" t="s">
        <v>311</v>
      </c>
    </row>
    <row r="11" spans="1:25" hidden="1" x14ac:dyDescent="0.2">
      <c r="A11">
        <v>10</v>
      </c>
      <c r="C11">
        <v>14</v>
      </c>
      <c r="D11" t="s">
        <v>51</v>
      </c>
      <c r="E11" t="s">
        <v>52</v>
      </c>
      <c r="G11" t="s">
        <v>374</v>
      </c>
      <c r="H11">
        <v>705</v>
      </c>
      <c r="J11" t="s">
        <v>428</v>
      </c>
      <c r="L11" t="s">
        <v>53</v>
      </c>
      <c r="M11" t="s">
        <v>364</v>
      </c>
      <c r="N11">
        <v>7</v>
      </c>
      <c r="Q11">
        <v>1</v>
      </c>
      <c r="R11">
        <v>5</v>
      </c>
      <c r="S11">
        <v>0</v>
      </c>
      <c r="T11">
        <v>0</v>
      </c>
      <c r="U11">
        <f t="shared" si="0"/>
        <v>0</v>
      </c>
      <c r="W11" t="s">
        <v>12</v>
      </c>
      <c r="X11" t="s">
        <v>11</v>
      </c>
      <c r="Y11" t="s">
        <v>310</v>
      </c>
    </row>
    <row r="12" spans="1:25" hidden="1" x14ac:dyDescent="0.2">
      <c r="A12">
        <v>11</v>
      </c>
      <c r="C12">
        <v>16</v>
      </c>
      <c r="D12" t="s">
        <v>54</v>
      </c>
      <c r="E12" t="s">
        <v>55</v>
      </c>
      <c r="G12" t="s">
        <v>374</v>
      </c>
      <c r="H12" t="s">
        <v>15</v>
      </c>
      <c r="J12" t="s">
        <v>428</v>
      </c>
      <c r="L12" t="s">
        <v>56</v>
      </c>
      <c r="M12" t="s">
        <v>58</v>
      </c>
      <c r="N12">
        <v>0</v>
      </c>
      <c r="Q12">
        <v>1</v>
      </c>
      <c r="R12">
        <v>5</v>
      </c>
      <c r="S12">
        <v>0</v>
      </c>
      <c r="T12">
        <v>0</v>
      </c>
      <c r="U12">
        <f t="shared" si="0"/>
        <v>0</v>
      </c>
      <c r="W12" t="s">
        <v>57</v>
      </c>
      <c r="X12" t="s">
        <v>11</v>
      </c>
      <c r="Y12" t="s">
        <v>311</v>
      </c>
    </row>
    <row r="13" spans="1:25" hidden="1" x14ac:dyDescent="0.2">
      <c r="A13">
        <v>12</v>
      </c>
      <c r="C13">
        <v>17</v>
      </c>
      <c r="D13" t="s">
        <v>54</v>
      </c>
      <c r="E13" t="s">
        <v>59</v>
      </c>
      <c r="G13" t="s">
        <v>374</v>
      </c>
      <c r="H13" t="s">
        <v>15</v>
      </c>
      <c r="J13" t="s">
        <v>428</v>
      </c>
      <c r="L13" t="s">
        <v>60</v>
      </c>
      <c r="M13" t="s">
        <v>62</v>
      </c>
      <c r="N13">
        <v>0</v>
      </c>
      <c r="Q13">
        <v>1</v>
      </c>
      <c r="R13">
        <v>5</v>
      </c>
      <c r="S13">
        <v>0</v>
      </c>
      <c r="T13">
        <v>0</v>
      </c>
      <c r="U13">
        <f t="shared" si="0"/>
        <v>0</v>
      </c>
      <c r="W13" t="s">
        <v>61</v>
      </c>
      <c r="X13" t="s">
        <v>11</v>
      </c>
      <c r="Y13" t="s">
        <v>311</v>
      </c>
    </row>
    <row r="14" spans="1:25" hidden="1" x14ac:dyDescent="0.2">
      <c r="A14">
        <v>13</v>
      </c>
      <c r="C14">
        <v>18</v>
      </c>
      <c r="D14" t="s">
        <v>63</v>
      </c>
      <c r="E14" t="s">
        <v>64</v>
      </c>
      <c r="G14" t="s">
        <v>374</v>
      </c>
      <c r="H14" t="s">
        <v>15</v>
      </c>
      <c r="J14" t="s">
        <v>428</v>
      </c>
      <c r="L14" t="s">
        <v>65</v>
      </c>
      <c r="M14" t="s">
        <v>67</v>
      </c>
      <c r="N14">
        <v>0</v>
      </c>
      <c r="Q14">
        <v>1</v>
      </c>
      <c r="R14">
        <v>5</v>
      </c>
      <c r="S14">
        <v>0</v>
      </c>
      <c r="T14">
        <v>0</v>
      </c>
      <c r="U14">
        <f t="shared" si="0"/>
        <v>0</v>
      </c>
      <c r="W14" t="s">
        <v>66</v>
      </c>
      <c r="X14" t="s">
        <v>11</v>
      </c>
      <c r="Y14" t="s">
        <v>311</v>
      </c>
    </row>
    <row r="15" spans="1:25" hidden="1" x14ac:dyDescent="0.2">
      <c r="A15">
        <v>14</v>
      </c>
      <c r="C15">
        <v>19</v>
      </c>
      <c r="D15" t="s">
        <v>68</v>
      </c>
      <c r="E15" t="s">
        <v>69</v>
      </c>
      <c r="G15" t="s">
        <v>374</v>
      </c>
      <c r="H15" t="s">
        <v>15</v>
      </c>
      <c r="J15" t="s">
        <v>428</v>
      </c>
      <c r="L15" t="s">
        <v>70</v>
      </c>
      <c r="M15" t="s">
        <v>72</v>
      </c>
      <c r="N15">
        <v>0</v>
      </c>
      <c r="Q15">
        <v>1</v>
      </c>
      <c r="R15">
        <v>5</v>
      </c>
      <c r="S15">
        <v>0</v>
      </c>
      <c r="T15">
        <v>0</v>
      </c>
      <c r="U15">
        <f t="shared" si="0"/>
        <v>0</v>
      </c>
      <c r="W15" t="s">
        <v>71</v>
      </c>
      <c r="X15" t="s">
        <v>11</v>
      </c>
      <c r="Y15" t="s">
        <v>311</v>
      </c>
    </row>
    <row r="16" spans="1:25" hidden="1" x14ac:dyDescent="0.2">
      <c r="A16">
        <v>15</v>
      </c>
      <c r="C16">
        <v>20</v>
      </c>
      <c r="D16" t="s">
        <v>73</v>
      </c>
      <c r="E16" t="s">
        <v>74</v>
      </c>
      <c r="G16" t="s">
        <v>374</v>
      </c>
      <c r="H16" t="s">
        <v>15</v>
      </c>
      <c r="J16" t="s">
        <v>428</v>
      </c>
      <c r="L16" t="s">
        <v>75</v>
      </c>
      <c r="M16" t="s">
        <v>77</v>
      </c>
      <c r="N16">
        <v>0</v>
      </c>
      <c r="Q16">
        <v>1</v>
      </c>
      <c r="R16">
        <v>5</v>
      </c>
      <c r="S16">
        <v>0</v>
      </c>
      <c r="T16">
        <v>0</v>
      </c>
      <c r="U16">
        <f t="shared" si="0"/>
        <v>0</v>
      </c>
      <c r="W16" t="s">
        <v>76</v>
      </c>
      <c r="X16" t="s">
        <v>11</v>
      </c>
      <c r="Y16" t="s">
        <v>311</v>
      </c>
    </row>
    <row r="17" spans="1:25" hidden="1" x14ac:dyDescent="0.2">
      <c r="A17">
        <v>16</v>
      </c>
      <c r="C17">
        <v>21</v>
      </c>
      <c r="D17" t="s">
        <v>78</v>
      </c>
      <c r="E17" t="s">
        <v>79</v>
      </c>
      <c r="G17" t="s">
        <v>374</v>
      </c>
      <c r="H17">
        <v>742</v>
      </c>
      <c r="J17" t="s">
        <v>428</v>
      </c>
      <c r="L17" t="s">
        <v>80</v>
      </c>
      <c r="M17" t="s">
        <v>382</v>
      </c>
      <c r="N17">
        <v>3</v>
      </c>
      <c r="Q17">
        <v>1</v>
      </c>
      <c r="R17">
        <v>4</v>
      </c>
      <c r="S17">
        <v>1</v>
      </c>
      <c r="T17">
        <v>0</v>
      </c>
      <c r="U17">
        <f t="shared" si="0"/>
        <v>0.8</v>
      </c>
      <c r="V17" t="s">
        <v>316</v>
      </c>
      <c r="W17" t="s">
        <v>12</v>
      </c>
      <c r="X17" t="s">
        <v>11</v>
      </c>
      <c r="Y17" t="s">
        <v>312</v>
      </c>
    </row>
    <row r="18" spans="1:25" hidden="1" x14ac:dyDescent="0.2">
      <c r="A18">
        <v>17</v>
      </c>
      <c r="C18">
        <v>22</v>
      </c>
      <c r="D18" t="s">
        <v>81</v>
      </c>
      <c r="E18" t="s">
        <v>82</v>
      </c>
      <c r="G18" t="s">
        <v>374</v>
      </c>
      <c r="H18">
        <v>728</v>
      </c>
      <c r="J18" t="s">
        <v>428</v>
      </c>
      <c r="L18" t="s">
        <v>83</v>
      </c>
      <c r="M18" t="s">
        <v>84</v>
      </c>
      <c r="N18">
        <v>6</v>
      </c>
      <c r="Q18">
        <v>1</v>
      </c>
      <c r="R18">
        <v>5</v>
      </c>
      <c r="S18">
        <v>0</v>
      </c>
      <c r="T18">
        <v>0</v>
      </c>
      <c r="U18">
        <f t="shared" si="0"/>
        <v>0</v>
      </c>
      <c r="W18" t="s">
        <v>12</v>
      </c>
      <c r="X18" t="s">
        <v>11</v>
      </c>
      <c r="Y18" t="s">
        <v>310</v>
      </c>
    </row>
    <row r="19" spans="1:25" hidden="1" x14ac:dyDescent="0.2">
      <c r="A19">
        <v>18</v>
      </c>
      <c r="C19">
        <v>24</v>
      </c>
      <c r="D19" t="s">
        <v>85</v>
      </c>
      <c r="E19" t="s">
        <v>86</v>
      </c>
      <c r="G19" t="s">
        <v>374</v>
      </c>
      <c r="H19" t="s">
        <v>15</v>
      </c>
      <c r="J19" t="s">
        <v>428</v>
      </c>
      <c r="L19" t="s">
        <v>87</v>
      </c>
      <c r="M19" t="s">
        <v>365</v>
      </c>
      <c r="N19">
        <v>0</v>
      </c>
      <c r="Q19">
        <v>1</v>
      </c>
      <c r="R19">
        <v>5</v>
      </c>
      <c r="S19">
        <v>0</v>
      </c>
      <c r="T19">
        <v>0</v>
      </c>
      <c r="U19">
        <f t="shared" si="0"/>
        <v>0</v>
      </c>
      <c r="W19" t="s">
        <v>88</v>
      </c>
      <c r="X19" t="s">
        <v>11</v>
      </c>
      <c r="Y19" t="s">
        <v>311</v>
      </c>
    </row>
    <row r="20" spans="1:25" hidden="1" x14ac:dyDescent="0.2">
      <c r="A20">
        <v>19</v>
      </c>
      <c r="C20">
        <v>25</v>
      </c>
      <c r="D20" t="s">
        <v>89</v>
      </c>
      <c r="E20" t="s">
        <v>90</v>
      </c>
      <c r="G20" t="s">
        <v>374</v>
      </c>
      <c r="H20" t="s">
        <v>15</v>
      </c>
      <c r="J20" t="s">
        <v>428</v>
      </c>
      <c r="L20" t="s">
        <v>91</v>
      </c>
      <c r="M20" t="s">
        <v>93</v>
      </c>
      <c r="N20">
        <v>0</v>
      </c>
      <c r="Q20">
        <v>1</v>
      </c>
      <c r="R20">
        <v>5</v>
      </c>
      <c r="S20">
        <v>0</v>
      </c>
      <c r="T20">
        <v>0</v>
      </c>
      <c r="U20">
        <f t="shared" si="0"/>
        <v>0</v>
      </c>
      <c r="W20" t="s">
        <v>92</v>
      </c>
      <c r="X20" t="s">
        <v>11</v>
      </c>
      <c r="Y20" t="s">
        <v>311</v>
      </c>
    </row>
    <row r="21" spans="1:25" hidden="1" x14ac:dyDescent="0.2">
      <c r="A21">
        <v>20</v>
      </c>
      <c r="C21">
        <v>26</v>
      </c>
      <c r="D21" t="s">
        <v>94</v>
      </c>
      <c r="E21" t="s">
        <v>95</v>
      </c>
      <c r="G21" t="s">
        <v>374</v>
      </c>
      <c r="H21" t="s">
        <v>15</v>
      </c>
      <c r="J21" t="s">
        <v>428</v>
      </c>
      <c r="L21" t="s">
        <v>96</v>
      </c>
      <c r="M21" t="s">
        <v>97</v>
      </c>
      <c r="N21">
        <v>0</v>
      </c>
      <c r="Q21">
        <v>1</v>
      </c>
      <c r="R21">
        <v>5</v>
      </c>
      <c r="S21">
        <v>0</v>
      </c>
      <c r="T21">
        <v>0</v>
      </c>
      <c r="U21">
        <f t="shared" si="0"/>
        <v>0</v>
      </c>
      <c r="W21" t="s">
        <v>12</v>
      </c>
      <c r="X21" t="s">
        <v>11</v>
      </c>
      <c r="Y21" t="s">
        <v>311</v>
      </c>
    </row>
    <row r="22" spans="1:25" hidden="1" x14ac:dyDescent="0.2">
      <c r="A22">
        <v>21</v>
      </c>
      <c r="C22">
        <v>27</v>
      </c>
      <c r="D22" t="s">
        <v>98</v>
      </c>
      <c r="E22" t="s">
        <v>99</v>
      </c>
      <c r="G22" t="s">
        <v>374</v>
      </c>
      <c r="H22" t="s">
        <v>15</v>
      </c>
      <c r="J22" t="s">
        <v>428</v>
      </c>
      <c r="L22" t="s">
        <v>100</v>
      </c>
      <c r="M22" t="s">
        <v>102</v>
      </c>
      <c r="N22">
        <v>0</v>
      </c>
      <c r="Q22">
        <v>1</v>
      </c>
      <c r="R22">
        <v>5</v>
      </c>
      <c r="S22">
        <v>0</v>
      </c>
      <c r="T22">
        <v>0</v>
      </c>
      <c r="U22">
        <f t="shared" si="0"/>
        <v>0</v>
      </c>
      <c r="W22" t="s">
        <v>101</v>
      </c>
      <c r="X22" t="s">
        <v>11</v>
      </c>
      <c r="Y22" t="s">
        <v>311</v>
      </c>
    </row>
    <row r="23" spans="1:25" hidden="1" x14ac:dyDescent="0.2">
      <c r="A23">
        <v>22</v>
      </c>
      <c r="C23">
        <v>28</v>
      </c>
      <c r="D23" t="s">
        <v>103</v>
      </c>
      <c r="E23" t="s">
        <v>104</v>
      </c>
      <c r="G23" t="s">
        <v>374</v>
      </c>
      <c r="H23" t="s">
        <v>15</v>
      </c>
      <c r="J23" t="s">
        <v>428</v>
      </c>
      <c r="L23" t="s">
        <v>105</v>
      </c>
      <c r="M23" t="s">
        <v>107</v>
      </c>
      <c r="N23">
        <v>0</v>
      </c>
      <c r="Q23">
        <v>1</v>
      </c>
      <c r="R23">
        <v>5</v>
      </c>
      <c r="S23">
        <v>0</v>
      </c>
      <c r="T23">
        <v>0</v>
      </c>
      <c r="U23">
        <f t="shared" si="0"/>
        <v>0</v>
      </c>
      <c r="W23" t="s">
        <v>106</v>
      </c>
      <c r="X23" t="s">
        <v>11</v>
      </c>
      <c r="Y23" t="s">
        <v>311</v>
      </c>
    </row>
    <row r="24" spans="1:25" hidden="1" x14ac:dyDescent="0.2">
      <c r="A24">
        <v>23</v>
      </c>
      <c r="C24">
        <v>30</v>
      </c>
      <c r="D24" t="s">
        <v>108</v>
      </c>
      <c r="E24" t="s">
        <v>109</v>
      </c>
      <c r="G24" t="s">
        <v>374</v>
      </c>
      <c r="H24" t="s">
        <v>15</v>
      </c>
      <c r="J24" t="s">
        <v>428</v>
      </c>
      <c r="L24" t="s">
        <v>110</v>
      </c>
      <c r="M24" t="s">
        <v>112</v>
      </c>
      <c r="N24">
        <v>0</v>
      </c>
      <c r="Q24">
        <v>1</v>
      </c>
      <c r="R24">
        <v>5</v>
      </c>
      <c r="S24">
        <v>0</v>
      </c>
      <c r="T24">
        <v>0</v>
      </c>
      <c r="U24">
        <f t="shared" si="0"/>
        <v>0</v>
      </c>
      <c r="W24" t="s">
        <v>111</v>
      </c>
      <c r="X24" t="s">
        <v>11</v>
      </c>
      <c r="Y24" t="s">
        <v>311</v>
      </c>
    </row>
    <row r="25" spans="1:25" hidden="1" x14ac:dyDescent="0.2">
      <c r="A25">
        <v>24</v>
      </c>
      <c r="C25">
        <v>31</v>
      </c>
      <c r="D25" t="s">
        <v>113</v>
      </c>
      <c r="E25" t="s">
        <v>114</v>
      </c>
      <c r="G25" t="s">
        <v>374</v>
      </c>
      <c r="H25" t="s">
        <v>15</v>
      </c>
      <c r="J25" t="s">
        <v>428</v>
      </c>
      <c r="L25" t="s">
        <v>115</v>
      </c>
      <c r="M25" t="s">
        <v>117</v>
      </c>
      <c r="N25">
        <v>0</v>
      </c>
      <c r="Q25">
        <v>1</v>
      </c>
      <c r="R25">
        <v>5</v>
      </c>
      <c r="S25">
        <v>0</v>
      </c>
      <c r="T25">
        <v>0</v>
      </c>
      <c r="U25">
        <f t="shared" si="0"/>
        <v>0</v>
      </c>
      <c r="W25" t="s">
        <v>116</v>
      </c>
      <c r="X25" t="s">
        <v>11</v>
      </c>
      <c r="Y25" t="s">
        <v>311</v>
      </c>
    </row>
    <row r="26" spans="1:25" hidden="1" x14ac:dyDescent="0.2">
      <c r="A26">
        <v>25</v>
      </c>
      <c r="C26">
        <v>32</v>
      </c>
      <c r="D26" t="s">
        <v>118</v>
      </c>
      <c r="E26" t="s">
        <v>119</v>
      </c>
      <c r="G26" t="s">
        <v>374</v>
      </c>
      <c r="H26" t="s">
        <v>15</v>
      </c>
      <c r="J26" t="s">
        <v>428</v>
      </c>
      <c r="L26" t="s">
        <v>120</v>
      </c>
      <c r="M26" t="s">
        <v>121</v>
      </c>
      <c r="N26">
        <v>0</v>
      </c>
      <c r="Q26">
        <v>1</v>
      </c>
      <c r="R26">
        <v>5</v>
      </c>
      <c r="S26">
        <v>0</v>
      </c>
      <c r="T26">
        <v>0</v>
      </c>
      <c r="U26">
        <f t="shared" si="0"/>
        <v>0</v>
      </c>
      <c r="W26" t="s">
        <v>12</v>
      </c>
      <c r="X26" t="s">
        <v>11</v>
      </c>
      <c r="Y26" t="s">
        <v>311</v>
      </c>
    </row>
    <row r="27" spans="1:25" hidden="1" x14ac:dyDescent="0.2">
      <c r="A27">
        <v>26</v>
      </c>
      <c r="C27">
        <v>33</v>
      </c>
      <c r="D27" t="s">
        <v>122</v>
      </c>
      <c r="E27" t="s">
        <v>123</v>
      </c>
      <c r="G27" t="s">
        <v>374</v>
      </c>
      <c r="H27">
        <v>712</v>
      </c>
      <c r="J27" t="s">
        <v>428</v>
      </c>
      <c r="L27" t="s">
        <v>124</v>
      </c>
      <c r="M27" t="s">
        <v>126</v>
      </c>
      <c r="N27">
        <v>0</v>
      </c>
      <c r="Q27">
        <v>1</v>
      </c>
      <c r="R27">
        <v>5</v>
      </c>
      <c r="S27">
        <v>0</v>
      </c>
      <c r="T27">
        <v>0</v>
      </c>
      <c r="U27">
        <f t="shared" si="0"/>
        <v>0</v>
      </c>
      <c r="W27" t="s">
        <v>125</v>
      </c>
      <c r="X27" t="s">
        <v>11</v>
      </c>
      <c r="Y27" t="s">
        <v>311</v>
      </c>
    </row>
    <row r="28" spans="1:25" hidden="1" x14ac:dyDescent="0.2">
      <c r="A28">
        <v>27</v>
      </c>
      <c r="C28">
        <v>34</v>
      </c>
      <c r="D28" t="s">
        <v>127</v>
      </c>
      <c r="E28" t="s">
        <v>128</v>
      </c>
      <c r="G28" t="s">
        <v>374</v>
      </c>
      <c r="H28" t="s">
        <v>15</v>
      </c>
      <c r="J28" t="s">
        <v>428</v>
      </c>
      <c r="L28" t="s">
        <v>129</v>
      </c>
      <c r="M28" t="s">
        <v>131</v>
      </c>
      <c r="N28">
        <v>0</v>
      </c>
      <c r="Q28">
        <v>1</v>
      </c>
      <c r="R28">
        <v>5</v>
      </c>
      <c r="S28">
        <v>0</v>
      </c>
      <c r="T28">
        <v>0</v>
      </c>
      <c r="U28">
        <f t="shared" si="0"/>
        <v>0</v>
      </c>
      <c r="W28" t="s">
        <v>130</v>
      </c>
      <c r="X28" t="s">
        <v>11</v>
      </c>
      <c r="Y28" t="s">
        <v>311</v>
      </c>
    </row>
    <row r="29" spans="1:25" hidden="1" x14ac:dyDescent="0.2">
      <c r="A29">
        <v>28</v>
      </c>
      <c r="C29">
        <v>35</v>
      </c>
      <c r="D29" t="s">
        <v>132</v>
      </c>
      <c r="E29" t="s">
        <v>133</v>
      </c>
      <c r="G29" t="s">
        <v>374</v>
      </c>
      <c r="H29" t="s">
        <v>15</v>
      </c>
      <c r="J29" t="s">
        <v>428</v>
      </c>
      <c r="L29" t="s">
        <v>134</v>
      </c>
      <c r="M29" t="s">
        <v>136</v>
      </c>
      <c r="N29">
        <v>0</v>
      </c>
      <c r="Q29">
        <v>1</v>
      </c>
      <c r="R29">
        <v>5</v>
      </c>
      <c r="S29">
        <v>0</v>
      </c>
      <c r="T29">
        <v>0</v>
      </c>
      <c r="U29">
        <f t="shared" si="0"/>
        <v>0</v>
      </c>
      <c r="W29" t="s">
        <v>135</v>
      </c>
      <c r="X29" t="s">
        <v>11</v>
      </c>
      <c r="Y29" t="s">
        <v>311</v>
      </c>
    </row>
    <row r="30" spans="1:25" hidden="1" x14ac:dyDescent="0.2">
      <c r="A30">
        <v>29</v>
      </c>
      <c r="C30">
        <v>36</v>
      </c>
      <c r="D30" t="s">
        <v>137</v>
      </c>
      <c r="E30" t="s">
        <v>138</v>
      </c>
      <c r="G30" t="s">
        <v>374</v>
      </c>
      <c r="H30" t="s">
        <v>15</v>
      </c>
      <c r="J30" t="s">
        <v>428</v>
      </c>
      <c r="L30" t="s">
        <v>139</v>
      </c>
      <c r="M30" t="s">
        <v>141</v>
      </c>
      <c r="N30">
        <v>0</v>
      </c>
      <c r="Q30">
        <v>1</v>
      </c>
      <c r="R30">
        <v>5</v>
      </c>
      <c r="S30">
        <v>0</v>
      </c>
      <c r="T30">
        <v>0</v>
      </c>
      <c r="U30">
        <f t="shared" si="0"/>
        <v>0</v>
      </c>
      <c r="W30" t="s">
        <v>140</v>
      </c>
      <c r="X30" t="s">
        <v>11</v>
      </c>
      <c r="Y30" t="s">
        <v>311</v>
      </c>
    </row>
    <row r="31" spans="1:25" hidden="1" x14ac:dyDescent="0.2">
      <c r="A31">
        <v>30</v>
      </c>
      <c r="C31">
        <v>38</v>
      </c>
      <c r="D31" t="s">
        <v>142</v>
      </c>
      <c r="E31" t="s">
        <v>143</v>
      </c>
      <c r="G31" t="s">
        <v>374</v>
      </c>
      <c r="H31" t="s">
        <v>15</v>
      </c>
      <c r="J31" t="s">
        <v>428</v>
      </c>
      <c r="L31" t="s">
        <v>144</v>
      </c>
      <c r="M31" t="s">
        <v>146</v>
      </c>
      <c r="N31">
        <v>0</v>
      </c>
      <c r="Q31">
        <v>1</v>
      </c>
      <c r="R31">
        <v>5</v>
      </c>
      <c r="S31">
        <v>0</v>
      </c>
      <c r="T31">
        <v>0</v>
      </c>
      <c r="U31">
        <f t="shared" si="0"/>
        <v>0</v>
      </c>
      <c r="W31" t="s">
        <v>145</v>
      </c>
      <c r="X31" t="s">
        <v>11</v>
      </c>
      <c r="Y31" t="s">
        <v>311</v>
      </c>
    </row>
    <row r="32" spans="1:25" hidden="1" x14ac:dyDescent="0.2">
      <c r="A32">
        <v>31</v>
      </c>
      <c r="C32">
        <v>39</v>
      </c>
      <c r="D32" t="s">
        <v>147</v>
      </c>
      <c r="E32" t="s">
        <v>148</v>
      </c>
      <c r="G32" t="s">
        <v>374</v>
      </c>
      <c r="H32" t="s">
        <v>15</v>
      </c>
      <c r="J32" t="s">
        <v>428</v>
      </c>
      <c r="L32" t="s">
        <v>149</v>
      </c>
      <c r="M32" t="s">
        <v>151</v>
      </c>
      <c r="N32">
        <v>0</v>
      </c>
      <c r="Q32">
        <v>1</v>
      </c>
      <c r="R32">
        <v>5</v>
      </c>
      <c r="S32">
        <v>0</v>
      </c>
      <c r="T32">
        <v>0</v>
      </c>
      <c r="U32">
        <f t="shared" si="0"/>
        <v>0</v>
      </c>
      <c r="W32" t="s">
        <v>150</v>
      </c>
      <c r="X32" t="s">
        <v>11</v>
      </c>
      <c r="Y32" t="s">
        <v>311</v>
      </c>
    </row>
    <row r="33" spans="1:25" hidden="1" x14ac:dyDescent="0.2">
      <c r="A33">
        <v>32</v>
      </c>
      <c r="C33">
        <v>40</v>
      </c>
      <c r="D33" t="s">
        <v>152</v>
      </c>
      <c r="E33" t="s">
        <v>153</v>
      </c>
      <c r="G33" t="s">
        <v>374</v>
      </c>
      <c r="H33" t="s">
        <v>15</v>
      </c>
      <c r="J33" t="s">
        <v>428</v>
      </c>
      <c r="L33" t="s">
        <v>154</v>
      </c>
      <c r="M33" t="s">
        <v>156</v>
      </c>
      <c r="N33">
        <v>0</v>
      </c>
      <c r="Q33">
        <v>1</v>
      </c>
      <c r="R33">
        <v>5</v>
      </c>
      <c r="S33">
        <v>0</v>
      </c>
      <c r="T33">
        <v>0</v>
      </c>
      <c r="U33">
        <f t="shared" si="0"/>
        <v>0</v>
      </c>
      <c r="W33" t="s">
        <v>155</v>
      </c>
      <c r="X33" t="s">
        <v>11</v>
      </c>
      <c r="Y33" t="s">
        <v>311</v>
      </c>
    </row>
    <row r="34" spans="1:25" hidden="1" x14ac:dyDescent="0.2">
      <c r="A34">
        <v>33</v>
      </c>
      <c r="C34">
        <v>42</v>
      </c>
      <c r="D34" t="s">
        <v>157</v>
      </c>
      <c r="E34" t="s">
        <v>158</v>
      </c>
      <c r="G34" t="s">
        <v>374</v>
      </c>
      <c r="H34">
        <v>591</v>
      </c>
      <c r="J34" t="s">
        <v>428</v>
      </c>
      <c r="L34" t="s">
        <v>159</v>
      </c>
      <c r="M34" t="s">
        <v>136</v>
      </c>
      <c r="N34">
        <v>0</v>
      </c>
      <c r="Q34">
        <v>1</v>
      </c>
      <c r="R34">
        <v>5</v>
      </c>
      <c r="S34">
        <v>0</v>
      </c>
      <c r="T34">
        <v>0</v>
      </c>
      <c r="U34">
        <f t="shared" si="0"/>
        <v>0</v>
      </c>
      <c r="W34" t="s">
        <v>160</v>
      </c>
      <c r="X34" t="s">
        <v>11</v>
      </c>
      <c r="Y34" t="s">
        <v>311</v>
      </c>
    </row>
    <row r="35" spans="1:25" hidden="1" x14ac:dyDescent="0.2">
      <c r="A35">
        <v>34</v>
      </c>
      <c r="C35">
        <v>43</v>
      </c>
      <c r="D35" t="s">
        <v>161</v>
      </c>
      <c r="E35" t="s">
        <v>162</v>
      </c>
      <c r="G35" t="s">
        <v>374</v>
      </c>
      <c r="H35" t="s">
        <v>15</v>
      </c>
      <c r="J35" t="s">
        <v>428</v>
      </c>
      <c r="L35" t="s">
        <v>163</v>
      </c>
      <c r="M35" t="s">
        <v>165</v>
      </c>
      <c r="N35">
        <v>0</v>
      </c>
      <c r="Q35">
        <v>1</v>
      </c>
      <c r="R35">
        <v>5</v>
      </c>
      <c r="S35">
        <v>0</v>
      </c>
      <c r="T35">
        <v>0</v>
      </c>
      <c r="U35">
        <f t="shared" si="0"/>
        <v>0</v>
      </c>
      <c r="W35" t="s">
        <v>164</v>
      </c>
      <c r="X35" t="s">
        <v>11</v>
      </c>
      <c r="Y35" t="s">
        <v>311</v>
      </c>
    </row>
    <row r="36" spans="1:25" hidden="1" x14ac:dyDescent="0.2">
      <c r="A36">
        <v>35</v>
      </c>
      <c r="C36">
        <v>44</v>
      </c>
      <c r="D36" t="s">
        <v>166</v>
      </c>
      <c r="E36" t="s">
        <v>167</v>
      </c>
      <c r="G36" t="s">
        <v>374</v>
      </c>
      <c r="H36">
        <v>747</v>
      </c>
      <c r="J36" t="s">
        <v>428</v>
      </c>
      <c r="L36" t="s">
        <v>168</v>
      </c>
      <c r="M36" t="s">
        <v>170</v>
      </c>
      <c r="N36">
        <v>4</v>
      </c>
      <c r="Q36">
        <v>1</v>
      </c>
      <c r="R36">
        <v>5</v>
      </c>
      <c r="S36">
        <v>0</v>
      </c>
      <c r="T36">
        <v>0</v>
      </c>
      <c r="U36">
        <f t="shared" si="0"/>
        <v>0</v>
      </c>
      <c r="W36" t="s">
        <v>169</v>
      </c>
      <c r="X36" t="s">
        <v>11</v>
      </c>
      <c r="Y36" t="s">
        <v>310</v>
      </c>
    </row>
    <row r="37" spans="1:25" hidden="1" x14ac:dyDescent="0.2">
      <c r="A37">
        <v>36</v>
      </c>
      <c r="C37">
        <v>45</v>
      </c>
      <c r="D37" t="s">
        <v>171</v>
      </c>
      <c r="E37" t="s">
        <v>172</v>
      </c>
      <c r="G37" t="s">
        <v>374</v>
      </c>
      <c r="H37" t="s">
        <v>15</v>
      </c>
      <c r="J37" t="s">
        <v>428</v>
      </c>
      <c r="L37" t="s">
        <v>173</v>
      </c>
      <c r="M37" t="s">
        <v>175</v>
      </c>
      <c r="N37">
        <v>0</v>
      </c>
      <c r="Q37">
        <v>1</v>
      </c>
      <c r="R37">
        <v>4</v>
      </c>
      <c r="S37">
        <v>0</v>
      </c>
      <c r="T37">
        <v>1</v>
      </c>
      <c r="U37">
        <f t="shared" si="0"/>
        <v>0.39999999999999991</v>
      </c>
      <c r="W37" t="s">
        <v>174</v>
      </c>
      <c r="X37" t="s">
        <v>11</v>
      </c>
      <c r="Y37" t="s">
        <v>311</v>
      </c>
    </row>
    <row r="38" spans="1:25" hidden="1" x14ac:dyDescent="0.2">
      <c r="A38">
        <v>37</v>
      </c>
      <c r="C38">
        <v>46</v>
      </c>
      <c r="D38" t="s">
        <v>171</v>
      </c>
      <c r="E38" t="s">
        <v>176</v>
      </c>
      <c r="G38" t="s">
        <v>374</v>
      </c>
      <c r="H38" t="s">
        <v>15</v>
      </c>
      <c r="J38" t="s">
        <v>428</v>
      </c>
      <c r="L38" t="s">
        <v>177</v>
      </c>
      <c r="M38" t="s">
        <v>179</v>
      </c>
      <c r="N38">
        <v>0</v>
      </c>
      <c r="Q38">
        <v>1</v>
      </c>
      <c r="R38">
        <v>3</v>
      </c>
      <c r="S38">
        <v>0</v>
      </c>
      <c r="T38">
        <v>2</v>
      </c>
      <c r="U38">
        <f t="shared" si="0"/>
        <v>0.4898979485566356</v>
      </c>
      <c r="V38" t="s">
        <v>317</v>
      </c>
      <c r="W38" t="s">
        <v>178</v>
      </c>
      <c r="X38" t="s">
        <v>11</v>
      </c>
      <c r="Y38" t="s">
        <v>311</v>
      </c>
    </row>
    <row r="39" spans="1:25" hidden="1" x14ac:dyDescent="0.2">
      <c r="A39">
        <v>38</v>
      </c>
      <c r="C39">
        <v>47</v>
      </c>
      <c r="D39" t="s">
        <v>180</v>
      </c>
      <c r="E39" t="s">
        <v>181</v>
      </c>
      <c r="G39" t="s">
        <v>374</v>
      </c>
      <c r="H39" t="s">
        <v>15</v>
      </c>
      <c r="J39" t="s">
        <v>428</v>
      </c>
      <c r="L39" t="s">
        <v>182</v>
      </c>
      <c r="M39" t="s">
        <v>184</v>
      </c>
      <c r="N39">
        <v>0</v>
      </c>
      <c r="Q39">
        <v>1</v>
      </c>
      <c r="R39">
        <v>4</v>
      </c>
      <c r="S39">
        <v>0</v>
      </c>
      <c r="T39">
        <v>1</v>
      </c>
      <c r="U39">
        <f t="shared" si="0"/>
        <v>0.39999999999999991</v>
      </c>
      <c r="W39" t="s">
        <v>183</v>
      </c>
      <c r="X39" t="s">
        <v>11</v>
      </c>
      <c r="Y39" t="s">
        <v>311</v>
      </c>
    </row>
    <row r="40" spans="1:25" hidden="1" x14ac:dyDescent="0.2">
      <c r="A40">
        <v>39</v>
      </c>
      <c r="C40">
        <v>48</v>
      </c>
      <c r="D40" t="s">
        <v>185</v>
      </c>
      <c r="E40" t="s">
        <v>186</v>
      </c>
      <c r="G40" t="s">
        <v>374</v>
      </c>
      <c r="H40" t="s">
        <v>15</v>
      </c>
      <c r="J40" t="s">
        <v>428</v>
      </c>
      <c r="L40" t="s">
        <v>187</v>
      </c>
      <c r="M40" t="s">
        <v>366</v>
      </c>
      <c r="N40">
        <v>0</v>
      </c>
      <c r="Q40">
        <v>1</v>
      </c>
      <c r="R40">
        <v>4</v>
      </c>
      <c r="S40">
        <v>0</v>
      </c>
      <c r="T40">
        <v>1</v>
      </c>
      <c r="U40">
        <f t="shared" si="0"/>
        <v>0.39999999999999991</v>
      </c>
      <c r="W40" t="s">
        <v>188</v>
      </c>
      <c r="X40" t="s">
        <v>11</v>
      </c>
      <c r="Y40" t="s">
        <v>311</v>
      </c>
    </row>
    <row r="41" spans="1:25" hidden="1" x14ac:dyDescent="0.2">
      <c r="A41">
        <v>40</v>
      </c>
      <c r="C41">
        <v>49</v>
      </c>
      <c r="D41" t="s">
        <v>189</v>
      </c>
      <c r="E41" t="s">
        <v>190</v>
      </c>
      <c r="G41" t="s">
        <v>374</v>
      </c>
      <c r="H41">
        <v>800</v>
      </c>
      <c r="J41" t="s">
        <v>428</v>
      </c>
      <c r="L41" t="s">
        <v>191</v>
      </c>
      <c r="M41" t="s">
        <v>192</v>
      </c>
      <c r="N41">
        <v>0</v>
      </c>
      <c r="Q41">
        <v>1</v>
      </c>
      <c r="R41">
        <v>5</v>
      </c>
      <c r="S41">
        <v>0</v>
      </c>
      <c r="T41">
        <v>0</v>
      </c>
      <c r="U41">
        <f t="shared" si="0"/>
        <v>0</v>
      </c>
      <c r="W41" t="s">
        <v>12</v>
      </c>
      <c r="X41" t="s">
        <v>11</v>
      </c>
      <c r="Y41" t="s">
        <v>311</v>
      </c>
    </row>
    <row r="42" spans="1:25" hidden="1" x14ac:dyDescent="0.2">
      <c r="A42">
        <v>41</v>
      </c>
      <c r="C42">
        <v>50</v>
      </c>
      <c r="D42" t="s">
        <v>193</v>
      </c>
      <c r="E42" t="s">
        <v>194</v>
      </c>
      <c r="G42" t="s">
        <v>374</v>
      </c>
      <c r="H42" t="s">
        <v>15</v>
      </c>
      <c r="J42" t="s">
        <v>428</v>
      </c>
      <c r="L42" t="s">
        <v>195</v>
      </c>
      <c r="M42" t="s">
        <v>197</v>
      </c>
      <c r="N42">
        <v>0</v>
      </c>
      <c r="Q42">
        <v>1</v>
      </c>
      <c r="R42">
        <v>3</v>
      </c>
      <c r="S42">
        <v>0</v>
      </c>
      <c r="T42">
        <v>2</v>
      </c>
      <c r="U42">
        <f t="shared" si="0"/>
        <v>0.4898979485566356</v>
      </c>
      <c r="W42" t="s">
        <v>196</v>
      </c>
      <c r="X42" t="s">
        <v>11</v>
      </c>
      <c r="Y42" t="s">
        <v>311</v>
      </c>
    </row>
    <row r="43" spans="1:25" hidden="1" x14ac:dyDescent="0.2">
      <c r="A43">
        <v>42</v>
      </c>
      <c r="C43">
        <v>51</v>
      </c>
      <c r="D43" t="s">
        <v>198</v>
      </c>
      <c r="E43" t="s">
        <v>199</v>
      </c>
      <c r="G43" t="s">
        <v>374</v>
      </c>
      <c r="H43" t="s">
        <v>15</v>
      </c>
      <c r="J43" t="s">
        <v>428</v>
      </c>
      <c r="L43" t="s">
        <v>200</v>
      </c>
      <c r="M43" t="s">
        <v>202</v>
      </c>
      <c r="N43">
        <v>0</v>
      </c>
      <c r="Q43">
        <v>1</v>
      </c>
      <c r="R43">
        <v>5</v>
      </c>
      <c r="S43">
        <v>0</v>
      </c>
      <c r="T43">
        <v>0</v>
      </c>
      <c r="U43">
        <f t="shared" si="0"/>
        <v>0</v>
      </c>
      <c r="W43" t="s">
        <v>201</v>
      </c>
      <c r="X43" t="s">
        <v>11</v>
      </c>
      <c r="Y43" t="s">
        <v>311</v>
      </c>
    </row>
    <row r="44" spans="1:25" hidden="1" x14ac:dyDescent="0.2">
      <c r="A44">
        <v>43</v>
      </c>
      <c r="C44">
        <v>53</v>
      </c>
      <c r="D44" t="s">
        <v>203</v>
      </c>
      <c r="E44" t="s">
        <v>204</v>
      </c>
      <c r="G44" t="s">
        <v>374</v>
      </c>
      <c r="H44" t="s">
        <v>15</v>
      </c>
      <c r="J44" t="s">
        <v>428</v>
      </c>
      <c r="L44" t="s">
        <v>205</v>
      </c>
      <c r="M44" t="s">
        <v>207</v>
      </c>
      <c r="N44">
        <v>0</v>
      </c>
      <c r="Q44">
        <v>1</v>
      </c>
      <c r="R44">
        <v>0</v>
      </c>
      <c r="S44">
        <v>0</v>
      </c>
      <c r="T44">
        <v>5</v>
      </c>
      <c r="U44">
        <f t="shared" si="0"/>
        <v>0</v>
      </c>
      <c r="V44" t="s">
        <v>318</v>
      </c>
      <c r="W44" t="s">
        <v>206</v>
      </c>
      <c r="X44" t="s">
        <v>11</v>
      </c>
      <c r="Y44" t="s">
        <v>311</v>
      </c>
    </row>
    <row r="45" spans="1:25" hidden="1" x14ac:dyDescent="0.2">
      <c r="A45">
        <v>44</v>
      </c>
      <c r="C45">
        <v>54</v>
      </c>
      <c r="D45" t="s">
        <v>208</v>
      </c>
      <c r="E45" t="s">
        <v>209</v>
      </c>
      <c r="G45" t="s">
        <v>374</v>
      </c>
      <c r="H45" t="s">
        <v>15</v>
      </c>
      <c r="J45" t="s">
        <v>428</v>
      </c>
      <c r="L45" t="s">
        <v>210</v>
      </c>
      <c r="M45" t="s">
        <v>212</v>
      </c>
      <c r="N45">
        <v>0</v>
      </c>
      <c r="Q45">
        <v>1</v>
      </c>
      <c r="R45">
        <v>5</v>
      </c>
      <c r="S45">
        <v>0</v>
      </c>
      <c r="T45">
        <v>0</v>
      </c>
      <c r="U45">
        <f t="shared" si="0"/>
        <v>0</v>
      </c>
      <c r="W45" t="s">
        <v>211</v>
      </c>
      <c r="X45" t="s">
        <v>11</v>
      </c>
      <c r="Y45" t="s">
        <v>311</v>
      </c>
    </row>
    <row r="46" spans="1:25" hidden="1" x14ac:dyDescent="0.2">
      <c r="A46">
        <v>45</v>
      </c>
      <c r="C46">
        <v>56</v>
      </c>
      <c r="D46" t="s">
        <v>213</v>
      </c>
      <c r="E46" t="s">
        <v>214</v>
      </c>
      <c r="G46" t="s">
        <v>374</v>
      </c>
      <c r="H46" t="s">
        <v>15</v>
      </c>
      <c r="J46" t="s">
        <v>428</v>
      </c>
      <c r="L46" t="s">
        <v>215</v>
      </c>
      <c r="M46" t="s">
        <v>217</v>
      </c>
      <c r="N46">
        <v>0</v>
      </c>
      <c r="Q46">
        <v>1</v>
      </c>
      <c r="R46">
        <v>2</v>
      </c>
      <c r="S46">
        <v>0</v>
      </c>
      <c r="T46">
        <v>3</v>
      </c>
      <c r="U46">
        <f t="shared" si="0"/>
        <v>0.4898979485566356</v>
      </c>
      <c r="W46" t="s">
        <v>216</v>
      </c>
      <c r="X46" t="s">
        <v>11</v>
      </c>
      <c r="Y46" t="s">
        <v>311</v>
      </c>
    </row>
    <row r="47" spans="1:25" hidden="1" x14ac:dyDescent="0.2">
      <c r="A47">
        <v>46</v>
      </c>
      <c r="C47">
        <v>57</v>
      </c>
      <c r="D47" t="s">
        <v>218</v>
      </c>
      <c r="E47" t="s">
        <v>219</v>
      </c>
      <c r="G47" t="s">
        <v>374</v>
      </c>
      <c r="H47" t="s">
        <v>15</v>
      </c>
      <c r="J47" t="s">
        <v>428</v>
      </c>
      <c r="L47" t="s">
        <v>220</v>
      </c>
      <c r="M47" t="s">
        <v>222</v>
      </c>
      <c r="N47">
        <v>0</v>
      </c>
      <c r="Q47">
        <v>1</v>
      </c>
      <c r="R47">
        <v>5</v>
      </c>
      <c r="S47">
        <v>0</v>
      </c>
      <c r="T47">
        <v>0</v>
      </c>
      <c r="U47">
        <f t="shared" si="0"/>
        <v>0</v>
      </c>
      <c r="W47" t="s">
        <v>221</v>
      </c>
      <c r="X47" t="s">
        <v>11</v>
      </c>
      <c r="Y47" t="s">
        <v>311</v>
      </c>
    </row>
    <row r="48" spans="1:25" hidden="1" x14ac:dyDescent="0.2">
      <c r="A48">
        <v>47</v>
      </c>
      <c r="C48">
        <v>58</v>
      </c>
      <c r="D48" t="s">
        <v>223</v>
      </c>
      <c r="E48" t="s">
        <v>224</v>
      </c>
      <c r="G48" t="s">
        <v>374</v>
      </c>
      <c r="H48" t="s">
        <v>15</v>
      </c>
      <c r="J48" t="s">
        <v>428</v>
      </c>
      <c r="L48" t="s">
        <v>225</v>
      </c>
      <c r="M48" t="s">
        <v>227</v>
      </c>
      <c r="N48">
        <v>0</v>
      </c>
      <c r="Q48">
        <v>1</v>
      </c>
      <c r="R48">
        <v>5</v>
      </c>
      <c r="S48">
        <v>0</v>
      </c>
      <c r="T48">
        <v>0</v>
      </c>
      <c r="U48">
        <f t="shared" si="0"/>
        <v>0</v>
      </c>
      <c r="W48" t="s">
        <v>226</v>
      </c>
      <c r="X48" t="s">
        <v>11</v>
      </c>
      <c r="Y48" t="s">
        <v>311</v>
      </c>
    </row>
    <row r="49" spans="1:25" hidden="1" x14ac:dyDescent="0.2">
      <c r="A49">
        <v>48</v>
      </c>
      <c r="C49">
        <v>59</v>
      </c>
      <c r="D49" t="s">
        <v>228</v>
      </c>
      <c r="E49" t="s">
        <v>229</v>
      </c>
      <c r="G49" t="s">
        <v>374</v>
      </c>
      <c r="H49" t="s">
        <v>15</v>
      </c>
      <c r="J49" t="s">
        <v>428</v>
      </c>
      <c r="L49" t="s">
        <v>230</v>
      </c>
      <c r="M49" t="s">
        <v>363</v>
      </c>
      <c r="N49">
        <v>0</v>
      </c>
      <c r="Q49">
        <v>1</v>
      </c>
      <c r="R49">
        <v>5</v>
      </c>
      <c r="S49">
        <v>0</v>
      </c>
      <c r="T49">
        <v>0</v>
      </c>
      <c r="U49">
        <f t="shared" si="0"/>
        <v>0</v>
      </c>
      <c r="W49" t="s">
        <v>231</v>
      </c>
      <c r="X49" t="s">
        <v>11</v>
      </c>
      <c r="Y49" t="s">
        <v>311</v>
      </c>
    </row>
    <row r="50" spans="1:25" hidden="1" x14ac:dyDescent="0.2">
      <c r="A50">
        <v>49</v>
      </c>
      <c r="C50">
        <v>63</v>
      </c>
      <c r="D50" t="s">
        <v>232</v>
      </c>
      <c r="E50" t="s">
        <v>233</v>
      </c>
      <c r="G50" t="s">
        <v>374</v>
      </c>
      <c r="H50" t="s">
        <v>15</v>
      </c>
      <c r="J50" t="s">
        <v>428</v>
      </c>
      <c r="L50" t="s">
        <v>234</v>
      </c>
      <c r="M50" t="s">
        <v>236</v>
      </c>
      <c r="N50">
        <v>0</v>
      </c>
      <c r="Q50">
        <v>1</v>
      </c>
      <c r="R50">
        <v>5</v>
      </c>
      <c r="S50">
        <v>0</v>
      </c>
      <c r="T50">
        <v>0</v>
      </c>
      <c r="U50">
        <f t="shared" si="0"/>
        <v>0</v>
      </c>
      <c r="W50" t="s">
        <v>235</v>
      </c>
      <c r="X50" t="s">
        <v>11</v>
      </c>
      <c r="Y50" t="s">
        <v>311</v>
      </c>
    </row>
    <row r="51" spans="1:25" hidden="1" x14ac:dyDescent="0.2">
      <c r="A51">
        <v>50</v>
      </c>
      <c r="C51">
        <v>64</v>
      </c>
      <c r="D51" t="s">
        <v>237</v>
      </c>
      <c r="E51" t="s">
        <v>238</v>
      </c>
      <c r="G51" t="s">
        <v>374</v>
      </c>
      <c r="H51" t="s">
        <v>15</v>
      </c>
      <c r="J51" t="s">
        <v>428</v>
      </c>
      <c r="L51" t="s">
        <v>239</v>
      </c>
      <c r="M51" t="s">
        <v>241</v>
      </c>
      <c r="N51">
        <v>0</v>
      </c>
      <c r="Q51">
        <v>1</v>
      </c>
      <c r="R51">
        <v>3</v>
      </c>
      <c r="S51">
        <v>0</v>
      </c>
      <c r="T51">
        <v>2</v>
      </c>
      <c r="U51">
        <f t="shared" si="0"/>
        <v>0.4898979485566356</v>
      </c>
      <c r="V51" t="s">
        <v>319</v>
      </c>
      <c r="W51" t="s">
        <v>240</v>
      </c>
      <c r="X51" t="s">
        <v>11</v>
      </c>
      <c r="Y51" t="s">
        <v>311</v>
      </c>
    </row>
    <row r="52" spans="1:25" hidden="1" x14ac:dyDescent="0.2">
      <c r="A52">
        <v>51</v>
      </c>
      <c r="C52">
        <v>65</v>
      </c>
      <c r="D52" t="s">
        <v>242</v>
      </c>
      <c r="E52" t="s">
        <v>243</v>
      </c>
      <c r="G52" t="s">
        <v>374</v>
      </c>
      <c r="H52" t="s">
        <v>15</v>
      </c>
      <c r="J52" t="s">
        <v>428</v>
      </c>
      <c r="L52" t="s">
        <v>244</v>
      </c>
      <c r="M52" t="s">
        <v>246</v>
      </c>
      <c r="N52">
        <v>0</v>
      </c>
      <c r="Q52">
        <v>1</v>
      </c>
      <c r="R52">
        <v>5</v>
      </c>
      <c r="S52">
        <v>0</v>
      </c>
      <c r="T52">
        <v>0</v>
      </c>
      <c r="U52">
        <f t="shared" si="0"/>
        <v>0</v>
      </c>
      <c r="W52" t="s">
        <v>245</v>
      </c>
      <c r="X52" t="s">
        <v>11</v>
      </c>
      <c r="Y52" t="s">
        <v>311</v>
      </c>
    </row>
    <row r="53" spans="1:25" x14ac:dyDescent="0.2">
      <c r="A53">
        <v>52</v>
      </c>
      <c r="D53" t="s">
        <v>248</v>
      </c>
      <c r="E53" t="s">
        <v>249</v>
      </c>
      <c r="G53" t="s">
        <v>375</v>
      </c>
      <c r="H53" s="2" t="s">
        <v>320</v>
      </c>
      <c r="I53" s="2" t="s">
        <v>327</v>
      </c>
      <c r="J53" t="s">
        <v>429</v>
      </c>
      <c r="K53" s="2"/>
      <c r="L53" t="s">
        <v>251</v>
      </c>
      <c r="M53" t="s">
        <v>251</v>
      </c>
      <c r="N53">
        <v>6</v>
      </c>
      <c r="Q53">
        <v>1</v>
      </c>
      <c r="R53">
        <v>3</v>
      </c>
      <c r="S53">
        <f>12-R53</f>
        <v>9</v>
      </c>
      <c r="T53">
        <v>0</v>
      </c>
      <c r="U53">
        <f t="shared" si="0"/>
        <v>0.8660254037844386</v>
      </c>
      <c r="X53" t="s">
        <v>247</v>
      </c>
    </row>
    <row r="54" spans="1:25" x14ac:dyDescent="0.2">
      <c r="A54">
        <v>53</v>
      </c>
      <c r="C54" t="s">
        <v>15</v>
      </c>
      <c r="D54" t="s">
        <v>248</v>
      </c>
      <c r="E54" t="s">
        <v>249</v>
      </c>
      <c r="G54" t="s">
        <v>375</v>
      </c>
      <c r="H54" t="s">
        <v>250</v>
      </c>
      <c r="I54" s="2" t="s">
        <v>324</v>
      </c>
      <c r="J54" t="s">
        <v>429</v>
      </c>
      <c r="L54" t="s">
        <v>251</v>
      </c>
      <c r="M54" t="s">
        <v>251</v>
      </c>
      <c r="N54">
        <v>6</v>
      </c>
      <c r="Q54">
        <v>1</v>
      </c>
      <c r="R54">
        <v>2</v>
      </c>
      <c r="S54">
        <f t="shared" ref="S54:S59" si="1">12-R54</f>
        <v>10</v>
      </c>
      <c r="T54">
        <v>0</v>
      </c>
      <c r="U54">
        <f t="shared" si="0"/>
        <v>0.7453559924999299</v>
      </c>
      <c r="W54" t="s">
        <v>12</v>
      </c>
      <c r="X54" t="s">
        <v>247</v>
      </c>
    </row>
    <row r="55" spans="1:25" x14ac:dyDescent="0.2">
      <c r="A55">
        <v>54</v>
      </c>
      <c r="C55" t="s">
        <v>15</v>
      </c>
      <c r="D55" t="s">
        <v>248</v>
      </c>
      <c r="E55" t="s">
        <v>249</v>
      </c>
      <c r="G55" t="s">
        <v>375</v>
      </c>
      <c r="H55" t="s">
        <v>252</v>
      </c>
      <c r="I55" s="2" t="s">
        <v>323</v>
      </c>
      <c r="J55" t="s">
        <v>429</v>
      </c>
      <c r="L55" t="s">
        <v>251</v>
      </c>
      <c r="M55" t="s">
        <v>251</v>
      </c>
      <c r="N55">
        <v>6</v>
      </c>
      <c r="Q55">
        <v>1</v>
      </c>
      <c r="R55">
        <v>3</v>
      </c>
      <c r="S55">
        <f t="shared" si="1"/>
        <v>9</v>
      </c>
      <c r="T55">
        <v>0</v>
      </c>
      <c r="U55">
        <f t="shared" si="0"/>
        <v>0.8660254037844386</v>
      </c>
      <c r="W55" t="s">
        <v>12</v>
      </c>
      <c r="X55" t="s">
        <v>247</v>
      </c>
    </row>
    <row r="56" spans="1:25" x14ac:dyDescent="0.2">
      <c r="A56">
        <v>55</v>
      </c>
      <c r="C56" t="s">
        <v>15</v>
      </c>
      <c r="D56" t="s">
        <v>248</v>
      </c>
      <c r="E56" t="s">
        <v>249</v>
      </c>
      <c r="G56" t="s">
        <v>375</v>
      </c>
      <c r="H56" t="s">
        <v>253</v>
      </c>
      <c r="I56" s="2" t="s">
        <v>328</v>
      </c>
      <c r="J56" t="s">
        <v>429</v>
      </c>
      <c r="L56" t="s">
        <v>251</v>
      </c>
      <c r="M56" t="s">
        <v>251</v>
      </c>
      <c r="N56">
        <v>6</v>
      </c>
      <c r="Q56">
        <v>1</v>
      </c>
      <c r="R56">
        <v>1</v>
      </c>
      <c r="S56">
        <f t="shared" si="1"/>
        <v>11</v>
      </c>
      <c r="T56">
        <v>0</v>
      </c>
      <c r="U56">
        <f t="shared" si="0"/>
        <v>0.5527707983925666</v>
      </c>
      <c r="W56" t="s">
        <v>12</v>
      </c>
      <c r="X56" t="s">
        <v>247</v>
      </c>
    </row>
    <row r="57" spans="1:25" x14ac:dyDescent="0.2">
      <c r="A57">
        <v>56</v>
      </c>
      <c r="C57" t="s">
        <v>15</v>
      </c>
      <c r="D57" t="s">
        <v>248</v>
      </c>
      <c r="E57" t="s">
        <v>249</v>
      </c>
      <c r="G57" t="s">
        <v>375</v>
      </c>
      <c r="H57" t="s">
        <v>254</v>
      </c>
      <c r="I57" s="2" t="s">
        <v>326</v>
      </c>
      <c r="J57" t="s">
        <v>429</v>
      </c>
      <c r="L57" t="s">
        <v>251</v>
      </c>
      <c r="M57" t="s">
        <v>251</v>
      </c>
      <c r="N57">
        <v>6</v>
      </c>
      <c r="Q57">
        <v>1</v>
      </c>
      <c r="R57">
        <v>0</v>
      </c>
      <c r="S57">
        <f t="shared" si="1"/>
        <v>12</v>
      </c>
      <c r="T57">
        <v>0</v>
      </c>
      <c r="U57">
        <f t="shared" si="0"/>
        <v>0</v>
      </c>
      <c r="W57" t="s">
        <v>12</v>
      </c>
      <c r="X57" t="s">
        <v>247</v>
      </c>
    </row>
    <row r="58" spans="1:25" x14ac:dyDescent="0.2">
      <c r="A58">
        <v>57</v>
      </c>
      <c r="C58" t="s">
        <v>15</v>
      </c>
      <c r="D58" t="s">
        <v>248</v>
      </c>
      <c r="E58" t="s">
        <v>249</v>
      </c>
      <c r="G58" t="s">
        <v>375</v>
      </c>
      <c r="H58" t="s">
        <v>255</v>
      </c>
      <c r="I58" s="2" t="s">
        <v>325</v>
      </c>
      <c r="J58" t="s">
        <v>429</v>
      </c>
      <c r="L58" t="s">
        <v>251</v>
      </c>
      <c r="M58" t="s">
        <v>251</v>
      </c>
      <c r="N58">
        <v>6</v>
      </c>
      <c r="Q58">
        <v>1</v>
      </c>
      <c r="R58">
        <v>4</v>
      </c>
      <c r="S58">
        <f t="shared" si="1"/>
        <v>8</v>
      </c>
      <c r="T58">
        <v>0</v>
      </c>
      <c r="U58">
        <f t="shared" si="0"/>
        <v>0.94280904158206336</v>
      </c>
      <c r="W58" t="s">
        <v>12</v>
      </c>
      <c r="X58" t="s">
        <v>247</v>
      </c>
    </row>
    <row r="59" spans="1:25" x14ac:dyDescent="0.2">
      <c r="A59">
        <v>58</v>
      </c>
      <c r="C59" t="s">
        <v>15</v>
      </c>
      <c r="D59" t="s">
        <v>248</v>
      </c>
      <c r="E59" t="s">
        <v>249</v>
      </c>
      <c r="G59" t="s">
        <v>374</v>
      </c>
      <c r="H59" t="s">
        <v>256</v>
      </c>
      <c r="I59" s="2" t="s">
        <v>322</v>
      </c>
      <c r="J59" t="s">
        <v>429</v>
      </c>
      <c r="L59" t="s">
        <v>251</v>
      </c>
      <c r="M59" t="s">
        <v>251</v>
      </c>
      <c r="N59">
        <v>6</v>
      </c>
      <c r="Q59">
        <v>1</v>
      </c>
      <c r="R59">
        <v>10</v>
      </c>
      <c r="S59">
        <f t="shared" si="1"/>
        <v>2</v>
      </c>
      <c r="T59">
        <v>0</v>
      </c>
      <c r="U59">
        <f t="shared" si="0"/>
        <v>0.7453559924999299</v>
      </c>
      <c r="W59" t="s">
        <v>12</v>
      </c>
      <c r="X59" t="s">
        <v>247</v>
      </c>
    </row>
    <row r="60" spans="1:25" hidden="1" x14ac:dyDescent="0.2">
      <c r="A60">
        <v>59</v>
      </c>
      <c r="B60" t="s">
        <v>337</v>
      </c>
      <c r="C60" t="s">
        <v>15</v>
      </c>
      <c r="D60" t="s">
        <v>257</v>
      </c>
      <c r="E60" t="s">
        <v>258</v>
      </c>
      <c r="G60" t="s">
        <v>375</v>
      </c>
      <c r="H60" s="4" t="s">
        <v>327</v>
      </c>
      <c r="I60" s="4" t="s">
        <v>327</v>
      </c>
      <c r="J60" t="s">
        <v>428</v>
      </c>
      <c r="K60" s="4">
        <v>-1</v>
      </c>
      <c r="L60" t="s">
        <v>259</v>
      </c>
      <c r="M60" t="s">
        <v>420</v>
      </c>
      <c r="N60">
        <v>7</v>
      </c>
      <c r="Q60">
        <v>1</v>
      </c>
      <c r="R60" s="4">
        <v>43</v>
      </c>
      <c r="S60" s="4">
        <v>18</v>
      </c>
      <c r="T60" s="4">
        <v>33</v>
      </c>
      <c r="U60">
        <f t="shared" si="0"/>
        <v>0.76039647993652904</v>
      </c>
    </row>
    <row r="61" spans="1:25" hidden="1" x14ac:dyDescent="0.2">
      <c r="A61">
        <v>60</v>
      </c>
      <c r="B61" t="s">
        <v>337</v>
      </c>
      <c r="C61" t="s">
        <v>15</v>
      </c>
      <c r="D61" t="s">
        <v>257</v>
      </c>
      <c r="E61" t="s">
        <v>258</v>
      </c>
      <c r="G61" t="s">
        <v>375</v>
      </c>
      <c r="H61" s="4" t="s">
        <v>324</v>
      </c>
      <c r="I61" s="4" t="s">
        <v>324</v>
      </c>
      <c r="J61" t="s">
        <v>428</v>
      </c>
      <c r="K61" s="4">
        <v>-1</v>
      </c>
      <c r="L61" t="s">
        <v>259</v>
      </c>
      <c r="M61" t="s">
        <v>421</v>
      </c>
      <c r="N61">
        <v>7</v>
      </c>
      <c r="Q61">
        <v>1</v>
      </c>
      <c r="R61" s="4">
        <v>51</v>
      </c>
      <c r="S61" s="4">
        <v>10</v>
      </c>
      <c r="T61" s="4">
        <v>33</v>
      </c>
      <c r="U61">
        <f t="shared" si="0"/>
        <v>0.67726783159136195</v>
      </c>
    </row>
    <row r="62" spans="1:25" hidden="1" x14ac:dyDescent="0.2">
      <c r="A62">
        <v>61</v>
      </c>
      <c r="B62" t="s">
        <v>337</v>
      </c>
      <c r="C62" t="s">
        <v>15</v>
      </c>
      <c r="D62" t="s">
        <v>257</v>
      </c>
      <c r="E62" t="s">
        <v>258</v>
      </c>
      <c r="G62" t="s">
        <v>375</v>
      </c>
      <c r="H62" s="4" t="s">
        <v>323</v>
      </c>
      <c r="I62" s="4" t="s">
        <v>323</v>
      </c>
      <c r="J62" t="s">
        <v>428</v>
      </c>
      <c r="K62" s="4">
        <v>1</v>
      </c>
      <c r="L62" t="s">
        <v>259</v>
      </c>
      <c r="M62" t="s">
        <v>422</v>
      </c>
      <c r="N62">
        <v>7</v>
      </c>
      <c r="Q62">
        <v>1</v>
      </c>
      <c r="R62" s="4">
        <v>48</v>
      </c>
      <c r="S62" s="4">
        <v>14</v>
      </c>
      <c r="T62" s="4">
        <v>32</v>
      </c>
      <c r="U62">
        <f t="shared" si="0"/>
        <v>0.72714925492064086</v>
      </c>
    </row>
    <row r="63" spans="1:25" hidden="1" x14ac:dyDescent="0.2">
      <c r="A63">
        <v>62</v>
      </c>
      <c r="B63" t="s">
        <v>337</v>
      </c>
      <c r="C63" t="s">
        <v>15</v>
      </c>
      <c r="D63" t="s">
        <v>257</v>
      </c>
      <c r="E63" t="s">
        <v>258</v>
      </c>
      <c r="G63" t="s">
        <v>375</v>
      </c>
      <c r="H63" s="4" t="s">
        <v>328</v>
      </c>
      <c r="I63" s="4" t="s">
        <v>328</v>
      </c>
      <c r="J63" t="s">
        <v>428</v>
      </c>
      <c r="K63" s="4"/>
      <c r="L63" t="s">
        <v>259</v>
      </c>
      <c r="M63" t="s">
        <v>423</v>
      </c>
      <c r="N63">
        <v>7</v>
      </c>
      <c r="Q63">
        <v>1</v>
      </c>
      <c r="R63" s="4">
        <v>32</v>
      </c>
      <c r="S63" s="4">
        <v>29</v>
      </c>
      <c r="T63" s="4">
        <v>33</v>
      </c>
      <c r="U63">
        <f t="shared" si="0"/>
        <v>0.80493329523518908</v>
      </c>
    </row>
    <row r="64" spans="1:25" hidden="1" x14ac:dyDescent="0.2">
      <c r="A64">
        <v>63</v>
      </c>
      <c r="B64" t="s">
        <v>337</v>
      </c>
      <c r="C64" t="s">
        <v>15</v>
      </c>
      <c r="D64" t="s">
        <v>257</v>
      </c>
      <c r="E64" t="s">
        <v>258</v>
      </c>
      <c r="G64" t="s">
        <v>375</v>
      </c>
      <c r="H64" s="4" t="s">
        <v>326</v>
      </c>
      <c r="I64" s="4" t="s">
        <v>326</v>
      </c>
      <c r="J64" t="s">
        <v>428</v>
      </c>
      <c r="K64" s="4"/>
      <c r="L64" t="s">
        <v>259</v>
      </c>
      <c r="M64" t="s">
        <v>424</v>
      </c>
      <c r="N64">
        <v>7</v>
      </c>
      <c r="Q64">
        <v>1</v>
      </c>
      <c r="R64" s="4">
        <v>38</v>
      </c>
      <c r="S64" s="4">
        <v>23</v>
      </c>
      <c r="T64" s="4">
        <v>33</v>
      </c>
      <c r="U64">
        <f t="shared" si="0"/>
        <v>0.78960253251121304</v>
      </c>
    </row>
    <row r="65" spans="1:21" hidden="1" x14ac:dyDescent="0.2">
      <c r="A65">
        <v>64</v>
      </c>
      <c r="B65" t="s">
        <v>337</v>
      </c>
      <c r="C65" t="s">
        <v>15</v>
      </c>
      <c r="D65" t="s">
        <v>257</v>
      </c>
      <c r="E65" t="s">
        <v>258</v>
      </c>
      <c r="G65" t="s">
        <v>375</v>
      </c>
      <c r="H65" s="4" t="s">
        <v>325</v>
      </c>
      <c r="I65" s="4" t="s">
        <v>325</v>
      </c>
      <c r="J65" t="s">
        <v>428</v>
      </c>
      <c r="K65" s="4"/>
      <c r="L65" t="s">
        <v>259</v>
      </c>
      <c r="M65" t="s">
        <v>425</v>
      </c>
      <c r="N65">
        <v>7</v>
      </c>
      <c r="Q65">
        <v>1</v>
      </c>
      <c r="R65" s="4">
        <v>48</v>
      </c>
      <c r="S65" s="4">
        <v>13</v>
      </c>
      <c r="T65" s="4">
        <v>33</v>
      </c>
      <c r="U65">
        <f t="shared" si="0"/>
        <v>0.71435199847657638</v>
      </c>
    </row>
    <row r="66" spans="1:21" hidden="1" x14ac:dyDescent="0.2">
      <c r="A66">
        <v>65</v>
      </c>
      <c r="B66" t="s">
        <v>337</v>
      </c>
      <c r="C66" t="s">
        <v>15</v>
      </c>
      <c r="D66" t="s">
        <v>257</v>
      </c>
      <c r="E66" t="s">
        <v>258</v>
      </c>
      <c r="G66" t="s">
        <v>374</v>
      </c>
      <c r="H66" s="4" t="s">
        <v>322</v>
      </c>
      <c r="I66" s="4" t="s">
        <v>322</v>
      </c>
      <c r="J66" t="s">
        <v>428</v>
      </c>
      <c r="K66" s="4"/>
      <c r="L66" t="s">
        <v>259</v>
      </c>
      <c r="M66" t="s">
        <v>426</v>
      </c>
      <c r="N66">
        <v>7</v>
      </c>
      <c r="Q66">
        <v>1</v>
      </c>
      <c r="R66" s="4">
        <v>57</v>
      </c>
      <c r="S66" s="4">
        <v>4</v>
      </c>
      <c r="T66" s="4">
        <v>33</v>
      </c>
      <c r="U66">
        <f t="shared" si="0"/>
        <v>0.57535392693574294</v>
      </c>
    </row>
    <row r="67" spans="1:21" hidden="1" x14ac:dyDescent="0.2">
      <c r="A67">
        <v>66</v>
      </c>
      <c r="B67" t="s">
        <v>338</v>
      </c>
      <c r="C67" t="s">
        <v>15</v>
      </c>
      <c r="D67" t="s">
        <v>257</v>
      </c>
      <c r="E67" t="s">
        <v>258</v>
      </c>
      <c r="G67" t="s">
        <v>375</v>
      </c>
      <c r="H67" s="4" t="s">
        <v>327</v>
      </c>
      <c r="I67" s="4" t="s">
        <v>327</v>
      </c>
      <c r="J67" t="s">
        <v>428</v>
      </c>
      <c r="K67" s="4"/>
      <c r="L67" t="s">
        <v>259</v>
      </c>
      <c r="M67" t="s">
        <v>420</v>
      </c>
      <c r="N67">
        <v>6</v>
      </c>
      <c r="Q67">
        <v>1</v>
      </c>
      <c r="R67" s="4">
        <v>38</v>
      </c>
      <c r="S67" s="4">
        <v>17</v>
      </c>
      <c r="T67" s="4">
        <v>39</v>
      </c>
      <c r="U67">
        <f t="shared" ref="U67:U130" si="2">SQRT(((R67+S67) / (R67+S67+T67)) - ((R67-S67) / (R67+S67+T67))^2)</f>
        <v>0.73157154242358269</v>
      </c>
    </row>
    <row r="68" spans="1:21" hidden="1" x14ac:dyDescent="0.2">
      <c r="A68">
        <v>67</v>
      </c>
      <c r="B68" t="s">
        <v>338</v>
      </c>
      <c r="C68" t="s">
        <v>15</v>
      </c>
      <c r="D68" t="s">
        <v>257</v>
      </c>
      <c r="E68" t="s">
        <v>258</v>
      </c>
      <c r="G68" t="s">
        <v>375</v>
      </c>
      <c r="H68" s="4" t="s">
        <v>324</v>
      </c>
      <c r="I68" s="4" t="s">
        <v>324</v>
      </c>
      <c r="J68" t="s">
        <v>428</v>
      </c>
      <c r="K68" s="4"/>
      <c r="L68" t="s">
        <v>259</v>
      </c>
      <c r="M68" t="s">
        <v>421</v>
      </c>
      <c r="N68">
        <v>6</v>
      </c>
      <c r="Q68">
        <v>1</v>
      </c>
      <c r="R68" s="4">
        <v>52</v>
      </c>
      <c r="S68" s="4">
        <v>9</v>
      </c>
      <c r="T68" s="4">
        <v>33</v>
      </c>
      <c r="U68">
        <f t="shared" si="2"/>
        <v>0.663082640095635</v>
      </c>
    </row>
    <row r="69" spans="1:21" hidden="1" x14ac:dyDescent="0.2">
      <c r="A69">
        <v>68</v>
      </c>
      <c r="B69" t="s">
        <v>338</v>
      </c>
      <c r="C69" t="s">
        <v>15</v>
      </c>
      <c r="D69" t="s">
        <v>257</v>
      </c>
      <c r="E69" t="s">
        <v>258</v>
      </c>
      <c r="G69" t="s">
        <v>375</v>
      </c>
      <c r="H69" s="4" t="s">
        <v>323</v>
      </c>
      <c r="I69" s="4" t="s">
        <v>323</v>
      </c>
      <c r="J69" t="s">
        <v>428</v>
      </c>
      <c r="K69" s="4"/>
      <c r="L69" t="s">
        <v>259</v>
      </c>
      <c r="M69" t="s">
        <v>422</v>
      </c>
      <c r="N69">
        <v>6</v>
      </c>
      <c r="Q69">
        <v>1</v>
      </c>
      <c r="R69" s="4">
        <v>48</v>
      </c>
      <c r="S69" s="4">
        <v>9</v>
      </c>
      <c r="T69" s="4">
        <v>37</v>
      </c>
      <c r="U69">
        <f t="shared" si="2"/>
        <v>0.65897364535951408</v>
      </c>
    </row>
    <row r="70" spans="1:21" hidden="1" x14ac:dyDescent="0.2">
      <c r="A70">
        <v>69</v>
      </c>
      <c r="B70" t="s">
        <v>338</v>
      </c>
      <c r="C70" t="s">
        <v>15</v>
      </c>
      <c r="D70" t="s">
        <v>257</v>
      </c>
      <c r="E70" t="s">
        <v>258</v>
      </c>
      <c r="G70" t="s">
        <v>375</v>
      </c>
      <c r="H70" s="4" t="s">
        <v>326</v>
      </c>
      <c r="I70" s="4" t="s">
        <v>326</v>
      </c>
      <c r="J70" t="s">
        <v>428</v>
      </c>
      <c r="K70" s="4"/>
      <c r="L70" t="s">
        <v>259</v>
      </c>
      <c r="M70" t="s">
        <v>424</v>
      </c>
      <c r="N70">
        <v>6</v>
      </c>
      <c r="Q70">
        <v>1</v>
      </c>
      <c r="R70" s="4">
        <v>40</v>
      </c>
      <c r="S70" s="4">
        <v>14</v>
      </c>
      <c r="T70" s="4">
        <v>40</v>
      </c>
      <c r="U70">
        <f t="shared" si="2"/>
        <v>0.70566484901178728</v>
      </c>
    </row>
    <row r="71" spans="1:21" hidden="1" x14ac:dyDescent="0.2">
      <c r="A71">
        <v>70</v>
      </c>
      <c r="B71" t="s">
        <v>338</v>
      </c>
      <c r="C71" t="s">
        <v>15</v>
      </c>
      <c r="D71" t="s">
        <v>257</v>
      </c>
      <c r="E71" t="s">
        <v>258</v>
      </c>
      <c r="G71" t="s">
        <v>375</v>
      </c>
      <c r="H71" s="4" t="s">
        <v>325</v>
      </c>
      <c r="I71" s="4" t="s">
        <v>325</v>
      </c>
      <c r="J71" t="s">
        <v>428</v>
      </c>
      <c r="K71" s="4"/>
      <c r="L71" t="s">
        <v>259</v>
      </c>
      <c r="M71" t="s">
        <v>425</v>
      </c>
      <c r="N71">
        <v>6</v>
      </c>
      <c r="Q71">
        <v>1</v>
      </c>
      <c r="R71" s="4">
        <v>47</v>
      </c>
      <c r="S71" s="4">
        <v>12</v>
      </c>
      <c r="T71" s="4">
        <v>35</v>
      </c>
      <c r="U71">
        <f t="shared" si="2"/>
        <v>0.69930120976786359</v>
      </c>
    </row>
    <row r="72" spans="1:21" hidden="1" x14ac:dyDescent="0.2">
      <c r="A72">
        <v>71</v>
      </c>
      <c r="B72" t="s">
        <v>338</v>
      </c>
      <c r="C72" t="s">
        <v>15</v>
      </c>
      <c r="D72" t="s">
        <v>257</v>
      </c>
      <c r="E72" t="s">
        <v>258</v>
      </c>
      <c r="G72" t="s">
        <v>374</v>
      </c>
      <c r="H72" s="4" t="s">
        <v>322</v>
      </c>
      <c r="I72" s="4" t="s">
        <v>322</v>
      </c>
      <c r="J72" t="s">
        <v>428</v>
      </c>
      <c r="K72" s="4"/>
      <c r="L72" t="s">
        <v>259</v>
      </c>
      <c r="M72" t="s">
        <v>426</v>
      </c>
      <c r="N72">
        <v>6</v>
      </c>
      <c r="Q72">
        <v>1</v>
      </c>
      <c r="R72" s="4">
        <v>55</v>
      </c>
      <c r="S72" s="4">
        <v>6</v>
      </c>
      <c r="T72" s="4">
        <v>33</v>
      </c>
      <c r="U72">
        <f t="shared" si="2"/>
        <v>0.61417170314302372</v>
      </c>
    </row>
    <row r="73" spans="1:21" hidden="1" x14ac:dyDescent="0.2">
      <c r="A73">
        <v>72</v>
      </c>
      <c r="B73" t="s">
        <v>339</v>
      </c>
      <c r="C73" t="s">
        <v>15</v>
      </c>
      <c r="D73" t="s">
        <v>257</v>
      </c>
      <c r="E73" t="s">
        <v>258</v>
      </c>
      <c r="G73" t="s">
        <v>375</v>
      </c>
      <c r="H73" s="4" t="s">
        <v>324</v>
      </c>
      <c r="I73" s="4" t="s">
        <v>324</v>
      </c>
      <c r="J73" t="s">
        <v>428</v>
      </c>
      <c r="K73" s="4"/>
      <c r="L73" t="s">
        <v>259</v>
      </c>
      <c r="M73" t="s">
        <v>421</v>
      </c>
      <c r="N73">
        <v>5</v>
      </c>
      <c r="Q73">
        <v>1</v>
      </c>
      <c r="R73" s="4">
        <v>42</v>
      </c>
      <c r="S73" s="4">
        <v>14</v>
      </c>
      <c r="T73" s="4">
        <v>38</v>
      </c>
      <c r="U73">
        <f t="shared" si="2"/>
        <v>0.71205108641197912</v>
      </c>
    </row>
    <row r="74" spans="1:21" hidden="1" x14ac:dyDescent="0.2">
      <c r="A74">
        <v>73</v>
      </c>
      <c r="B74" t="s">
        <v>339</v>
      </c>
      <c r="C74" t="s">
        <v>15</v>
      </c>
      <c r="D74" t="s">
        <v>257</v>
      </c>
      <c r="E74" t="s">
        <v>258</v>
      </c>
      <c r="G74" t="s">
        <v>375</v>
      </c>
      <c r="H74" s="4" t="s">
        <v>323</v>
      </c>
      <c r="I74" s="4" t="s">
        <v>323</v>
      </c>
      <c r="J74" t="s">
        <v>428</v>
      </c>
      <c r="K74" s="4"/>
      <c r="L74" t="s">
        <v>259</v>
      </c>
      <c r="M74" t="s">
        <v>422</v>
      </c>
      <c r="N74">
        <v>5</v>
      </c>
      <c r="Q74">
        <v>1</v>
      </c>
      <c r="R74" s="4">
        <v>40</v>
      </c>
      <c r="S74" s="4">
        <v>20</v>
      </c>
      <c r="T74" s="4">
        <v>34</v>
      </c>
      <c r="U74">
        <f t="shared" si="2"/>
        <v>0.77008344982356847</v>
      </c>
    </row>
    <row r="75" spans="1:21" hidden="1" x14ac:dyDescent="0.2">
      <c r="A75">
        <v>74</v>
      </c>
      <c r="B75" t="s">
        <v>339</v>
      </c>
      <c r="C75" t="s">
        <v>15</v>
      </c>
      <c r="D75" t="s">
        <v>257</v>
      </c>
      <c r="E75" t="s">
        <v>258</v>
      </c>
      <c r="G75" t="s">
        <v>375</v>
      </c>
      <c r="H75" s="4" t="s">
        <v>326</v>
      </c>
      <c r="I75" s="4" t="s">
        <v>326</v>
      </c>
      <c r="J75" t="s">
        <v>428</v>
      </c>
      <c r="K75" s="4"/>
      <c r="L75" t="s">
        <v>259</v>
      </c>
      <c r="M75" t="s">
        <v>424</v>
      </c>
      <c r="N75">
        <v>5</v>
      </c>
      <c r="Q75">
        <v>1</v>
      </c>
      <c r="R75" s="4">
        <v>30</v>
      </c>
      <c r="S75" s="4">
        <v>28</v>
      </c>
      <c r="T75" s="4">
        <v>36</v>
      </c>
      <c r="U75">
        <f t="shared" si="2"/>
        <v>0.7852188122232312</v>
      </c>
    </row>
    <row r="76" spans="1:21" hidden="1" x14ac:dyDescent="0.2">
      <c r="A76">
        <v>75</v>
      </c>
      <c r="B76" t="s">
        <v>339</v>
      </c>
      <c r="C76" t="s">
        <v>15</v>
      </c>
      <c r="D76" t="s">
        <v>257</v>
      </c>
      <c r="E76" t="s">
        <v>258</v>
      </c>
      <c r="G76" t="s">
        <v>375</v>
      </c>
      <c r="H76" s="4" t="s">
        <v>325</v>
      </c>
      <c r="I76" s="4" t="s">
        <v>325</v>
      </c>
      <c r="J76" t="s">
        <v>428</v>
      </c>
      <c r="K76" s="4"/>
      <c r="L76" t="s">
        <v>259</v>
      </c>
      <c r="M76" t="s">
        <v>425</v>
      </c>
      <c r="N76">
        <v>5</v>
      </c>
      <c r="Q76">
        <v>1</v>
      </c>
      <c r="R76" s="4">
        <v>36</v>
      </c>
      <c r="S76" s="4">
        <v>22</v>
      </c>
      <c r="T76" s="4">
        <v>36</v>
      </c>
      <c r="U76">
        <f t="shared" si="2"/>
        <v>0.77125825363369616</v>
      </c>
    </row>
    <row r="77" spans="1:21" hidden="1" x14ac:dyDescent="0.2">
      <c r="A77">
        <v>76</v>
      </c>
      <c r="B77" t="s">
        <v>339</v>
      </c>
      <c r="C77" t="s">
        <v>15</v>
      </c>
      <c r="D77" t="s">
        <v>257</v>
      </c>
      <c r="E77" t="s">
        <v>258</v>
      </c>
      <c r="G77" t="s">
        <v>374</v>
      </c>
      <c r="H77" s="4" t="s">
        <v>322</v>
      </c>
      <c r="I77" s="4" t="s">
        <v>322</v>
      </c>
      <c r="J77" t="s">
        <v>428</v>
      </c>
      <c r="K77" s="4"/>
      <c r="L77" t="s">
        <v>259</v>
      </c>
      <c r="M77" t="s">
        <v>426</v>
      </c>
      <c r="N77">
        <v>5</v>
      </c>
      <c r="Q77">
        <v>1</v>
      </c>
      <c r="R77" s="4">
        <v>44</v>
      </c>
      <c r="S77" s="4">
        <v>15</v>
      </c>
      <c r="T77" s="4">
        <v>35</v>
      </c>
      <c r="U77">
        <f t="shared" si="2"/>
        <v>0.72971279317627735</v>
      </c>
    </row>
    <row r="78" spans="1:21" hidden="1" x14ac:dyDescent="0.2">
      <c r="A78">
        <v>77</v>
      </c>
      <c r="B78" t="s">
        <v>340</v>
      </c>
      <c r="C78" t="s">
        <v>15</v>
      </c>
      <c r="D78" t="s">
        <v>257</v>
      </c>
      <c r="E78" t="s">
        <v>258</v>
      </c>
      <c r="G78" t="s">
        <v>375</v>
      </c>
      <c r="H78" s="4" t="s">
        <v>324</v>
      </c>
      <c r="I78" s="4" t="s">
        <v>324</v>
      </c>
      <c r="J78" t="s">
        <v>428</v>
      </c>
      <c r="K78" s="4"/>
      <c r="L78" t="s">
        <v>259</v>
      </c>
      <c r="M78" t="s">
        <v>421</v>
      </c>
      <c r="N78">
        <v>4</v>
      </c>
      <c r="Q78">
        <v>1</v>
      </c>
      <c r="R78" s="4">
        <v>42</v>
      </c>
      <c r="S78" s="4">
        <v>16</v>
      </c>
      <c r="T78" s="4">
        <v>36</v>
      </c>
      <c r="U78">
        <f t="shared" si="2"/>
        <v>0.73519798056046792</v>
      </c>
    </row>
    <row r="79" spans="1:21" hidden="1" x14ac:dyDescent="0.2">
      <c r="A79">
        <v>78</v>
      </c>
      <c r="B79" t="s">
        <v>340</v>
      </c>
      <c r="C79" t="s">
        <v>15</v>
      </c>
      <c r="D79" t="s">
        <v>257</v>
      </c>
      <c r="E79" t="s">
        <v>258</v>
      </c>
      <c r="G79" t="s">
        <v>375</v>
      </c>
      <c r="H79" s="4" t="s">
        <v>323</v>
      </c>
      <c r="I79" s="4" t="s">
        <v>323</v>
      </c>
      <c r="J79" t="s">
        <v>428</v>
      </c>
      <c r="K79" s="4"/>
      <c r="L79" t="s">
        <v>259</v>
      </c>
      <c r="M79" t="s">
        <v>422</v>
      </c>
      <c r="N79">
        <v>4</v>
      </c>
      <c r="Q79">
        <v>1</v>
      </c>
      <c r="R79" s="4">
        <v>40</v>
      </c>
      <c r="S79" s="4">
        <v>18</v>
      </c>
      <c r="T79" s="4">
        <v>36</v>
      </c>
      <c r="U79">
        <f t="shared" si="2"/>
        <v>0.74983022071089778</v>
      </c>
    </row>
    <row r="80" spans="1:21" hidden="1" x14ac:dyDescent="0.2">
      <c r="A80">
        <v>79</v>
      </c>
      <c r="B80" t="s">
        <v>340</v>
      </c>
      <c r="C80" t="s">
        <v>15</v>
      </c>
      <c r="D80" t="s">
        <v>257</v>
      </c>
      <c r="E80" t="s">
        <v>258</v>
      </c>
      <c r="G80" t="s">
        <v>375</v>
      </c>
      <c r="H80" s="4" t="s">
        <v>325</v>
      </c>
      <c r="I80" s="4" t="s">
        <v>325</v>
      </c>
      <c r="J80" t="s">
        <v>428</v>
      </c>
      <c r="K80" s="4"/>
      <c r="L80" t="s">
        <v>259</v>
      </c>
      <c r="M80" t="s">
        <v>425</v>
      </c>
      <c r="N80">
        <v>4</v>
      </c>
      <c r="Q80">
        <v>1</v>
      </c>
      <c r="R80" s="4">
        <v>38</v>
      </c>
      <c r="S80" s="4">
        <v>18</v>
      </c>
      <c r="T80" s="4">
        <v>38</v>
      </c>
      <c r="U80">
        <f t="shared" si="2"/>
        <v>0.74194024570905082</v>
      </c>
    </row>
    <row r="81" spans="1:24" hidden="1" x14ac:dyDescent="0.2">
      <c r="A81">
        <v>80</v>
      </c>
      <c r="B81" t="s">
        <v>340</v>
      </c>
      <c r="C81" t="s">
        <v>15</v>
      </c>
      <c r="D81" t="s">
        <v>257</v>
      </c>
      <c r="E81" t="s">
        <v>258</v>
      </c>
      <c r="G81" t="s">
        <v>374</v>
      </c>
      <c r="H81" s="4" t="s">
        <v>322</v>
      </c>
      <c r="I81" s="4" t="s">
        <v>322</v>
      </c>
      <c r="J81" t="s">
        <v>428</v>
      </c>
      <c r="K81" s="4"/>
      <c r="L81" t="s">
        <v>259</v>
      </c>
      <c r="M81" t="s">
        <v>426</v>
      </c>
      <c r="N81">
        <v>4</v>
      </c>
      <c r="Q81">
        <v>1</v>
      </c>
      <c r="R81" s="4">
        <v>50</v>
      </c>
      <c r="S81" s="4">
        <v>9</v>
      </c>
      <c r="T81" s="4">
        <v>35</v>
      </c>
      <c r="U81">
        <f t="shared" si="2"/>
        <v>0.6613736613774277</v>
      </c>
    </row>
    <row r="82" spans="1:24" hidden="1" x14ac:dyDescent="0.2">
      <c r="A82">
        <v>81</v>
      </c>
      <c r="B82" t="s">
        <v>341</v>
      </c>
      <c r="C82" t="s">
        <v>15</v>
      </c>
      <c r="D82" t="s">
        <v>257</v>
      </c>
      <c r="E82" t="s">
        <v>258</v>
      </c>
      <c r="G82" t="s">
        <v>375</v>
      </c>
      <c r="H82" s="4" t="s">
        <v>324</v>
      </c>
      <c r="I82" s="4" t="s">
        <v>324</v>
      </c>
      <c r="J82" t="s">
        <v>428</v>
      </c>
      <c r="K82" s="4"/>
      <c r="L82" t="s">
        <v>259</v>
      </c>
      <c r="M82" t="s">
        <v>421</v>
      </c>
      <c r="N82">
        <v>3</v>
      </c>
      <c r="Q82">
        <v>1</v>
      </c>
      <c r="R82" s="4">
        <v>33</v>
      </c>
      <c r="S82" s="4">
        <v>24</v>
      </c>
      <c r="T82" s="4">
        <v>37</v>
      </c>
      <c r="U82">
        <f t="shared" si="2"/>
        <v>0.77279747334740434</v>
      </c>
    </row>
    <row r="83" spans="1:24" hidden="1" x14ac:dyDescent="0.2">
      <c r="A83">
        <v>82</v>
      </c>
      <c r="B83" t="s">
        <v>341</v>
      </c>
      <c r="C83" t="s">
        <v>15</v>
      </c>
      <c r="D83" t="s">
        <v>257</v>
      </c>
      <c r="E83" t="s">
        <v>258</v>
      </c>
      <c r="G83" t="s">
        <v>375</v>
      </c>
      <c r="H83" s="4" t="s">
        <v>323</v>
      </c>
      <c r="I83" s="4" t="s">
        <v>323</v>
      </c>
      <c r="J83" t="s">
        <v>428</v>
      </c>
      <c r="K83" s="4"/>
      <c r="L83" t="s">
        <v>259</v>
      </c>
      <c r="M83" t="s">
        <v>422</v>
      </c>
      <c r="N83">
        <v>3</v>
      </c>
      <c r="Q83">
        <v>1</v>
      </c>
      <c r="R83" s="4">
        <v>33</v>
      </c>
      <c r="S83" s="4">
        <v>22</v>
      </c>
      <c r="T83" s="4">
        <v>39</v>
      </c>
      <c r="U83">
        <f t="shared" si="2"/>
        <v>0.75591825206342622</v>
      </c>
    </row>
    <row r="84" spans="1:24" hidden="1" x14ac:dyDescent="0.2">
      <c r="A84">
        <v>83</v>
      </c>
      <c r="B84" t="s">
        <v>341</v>
      </c>
      <c r="C84" t="s">
        <v>15</v>
      </c>
      <c r="D84" t="s">
        <v>257</v>
      </c>
      <c r="E84" t="s">
        <v>258</v>
      </c>
      <c r="G84" t="s">
        <v>374</v>
      </c>
      <c r="H84" s="4" t="s">
        <v>322</v>
      </c>
      <c r="I84" s="4" t="s">
        <v>322</v>
      </c>
      <c r="J84" t="s">
        <v>428</v>
      </c>
      <c r="K84" s="4"/>
      <c r="L84" t="s">
        <v>259</v>
      </c>
      <c r="M84" t="s">
        <v>426</v>
      </c>
      <c r="N84">
        <v>3</v>
      </c>
      <c r="Q84">
        <v>1</v>
      </c>
      <c r="R84" s="4">
        <v>41</v>
      </c>
      <c r="S84" s="4">
        <v>18</v>
      </c>
      <c r="T84" s="4">
        <v>35</v>
      </c>
      <c r="U84">
        <f t="shared" si="2"/>
        <v>0.75351898157296937</v>
      </c>
    </row>
    <row r="85" spans="1:24" hidden="1" x14ac:dyDescent="0.2">
      <c r="A85">
        <v>84</v>
      </c>
      <c r="B85" t="s">
        <v>342</v>
      </c>
      <c r="C85" t="s">
        <v>15</v>
      </c>
      <c r="D85" t="s">
        <v>257</v>
      </c>
      <c r="E85" t="s">
        <v>258</v>
      </c>
      <c r="G85" t="s">
        <v>375</v>
      </c>
      <c r="H85" s="4" t="s">
        <v>323</v>
      </c>
      <c r="I85" s="4" t="s">
        <v>323</v>
      </c>
      <c r="J85" t="s">
        <v>428</v>
      </c>
      <c r="K85" s="4"/>
      <c r="L85" t="s">
        <v>259</v>
      </c>
      <c r="M85" t="s">
        <v>422</v>
      </c>
      <c r="N85">
        <v>2</v>
      </c>
      <c r="Q85">
        <v>1</v>
      </c>
      <c r="R85" s="4">
        <v>34</v>
      </c>
      <c r="S85" s="4">
        <v>28</v>
      </c>
      <c r="T85" s="4">
        <v>32</v>
      </c>
      <c r="U85">
        <f t="shared" si="2"/>
        <v>0.80962968469959351</v>
      </c>
    </row>
    <row r="86" spans="1:24" hidden="1" x14ac:dyDescent="0.2">
      <c r="A86">
        <v>85</v>
      </c>
      <c r="B86" t="s">
        <v>342</v>
      </c>
      <c r="C86" t="s">
        <v>15</v>
      </c>
      <c r="D86" t="s">
        <v>257</v>
      </c>
      <c r="E86" t="s">
        <v>258</v>
      </c>
      <c r="G86" t="s">
        <v>374</v>
      </c>
      <c r="H86" s="4" t="s">
        <v>322</v>
      </c>
      <c r="I86" s="4" t="s">
        <v>322</v>
      </c>
      <c r="J86" t="s">
        <v>428</v>
      </c>
      <c r="K86" s="4"/>
      <c r="L86" t="s">
        <v>259</v>
      </c>
      <c r="M86" t="s">
        <v>426</v>
      </c>
      <c r="N86">
        <v>2</v>
      </c>
      <c r="Q86">
        <v>1</v>
      </c>
      <c r="R86" s="4">
        <v>37</v>
      </c>
      <c r="S86" s="4">
        <v>20</v>
      </c>
      <c r="T86" s="4">
        <v>37</v>
      </c>
      <c r="U86">
        <f t="shared" si="2"/>
        <v>0.75741393665223677</v>
      </c>
    </row>
    <row r="87" spans="1:24" hidden="1" x14ac:dyDescent="0.2">
      <c r="A87">
        <v>86</v>
      </c>
      <c r="B87" t="s">
        <v>343</v>
      </c>
      <c r="C87" t="s">
        <v>15</v>
      </c>
      <c r="D87" t="s">
        <v>257</v>
      </c>
      <c r="E87" t="s">
        <v>258</v>
      </c>
      <c r="G87" t="s">
        <v>374</v>
      </c>
      <c r="H87" s="4" t="s">
        <v>322</v>
      </c>
      <c r="I87" s="4" t="s">
        <v>322</v>
      </c>
      <c r="J87" t="s">
        <v>428</v>
      </c>
      <c r="K87" s="4"/>
      <c r="L87" t="s">
        <v>259</v>
      </c>
      <c r="M87" t="s">
        <v>426</v>
      </c>
      <c r="N87">
        <v>1</v>
      </c>
      <c r="Q87">
        <v>1</v>
      </c>
      <c r="R87" s="4">
        <v>40</v>
      </c>
      <c r="S87" s="4">
        <v>22</v>
      </c>
      <c r="T87" s="4">
        <v>32</v>
      </c>
      <c r="U87">
        <f t="shared" si="2"/>
        <v>0.78924412727623006</v>
      </c>
    </row>
    <row r="88" spans="1:24" hidden="1" x14ac:dyDescent="0.2">
      <c r="A88">
        <v>87</v>
      </c>
      <c r="C88" t="s">
        <v>15</v>
      </c>
      <c r="D88" t="s">
        <v>260</v>
      </c>
      <c r="E88" t="s">
        <v>261</v>
      </c>
      <c r="G88" t="s">
        <v>374</v>
      </c>
      <c r="H88" t="s">
        <v>262</v>
      </c>
      <c r="J88" t="s">
        <v>428</v>
      </c>
      <c r="L88" t="s">
        <v>263</v>
      </c>
      <c r="M88" t="s">
        <v>263</v>
      </c>
      <c r="N88">
        <v>0</v>
      </c>
      <c r="Q88">
        <v>1</v>
      </c>
      <c r="R88" s="4">
        <v>12</v>
      </c>
      <c r="S88" s="4">
        <v>0</v>
      </c>
      <c r="T88" s="4">
        <v>0</v>
      </c>
      <c r="U88">
        <f t="shared" si="2"/>
        <v>0</v>
      </c>
      <c r="W88" t="s">
        <v>12</v>
      </c>
      <c r="X88" t="s">
        <v>247</v>
      </c>
    </row>
    <row r="89" spans="1:24" hidden="1" x14ac:dyDescent="0.2">
      <c r="A89">
        <v>88</v>
      </c>
      <c r="C89" t="s">
        <v>15</v>
      </c>
      <c r="D89" t="s">
        <v>264</v>
      </c>
      <c r="E89" t="s">
        <v>265</v>
      </c>
      <c r="G89" t="s">
        <v>374</v>
      </c>
      <c r="H89" t="s">
        <v>262</v>
      </c>
      <c r="J89" t="s">
        <v>428</v>
      </c>
      <c r="L89" t="s">
        <v>266</v>
      </c>
      <c r="M89" t="s">
        <v>266</v>
      </c>
      <c r="N89">
        <v>0</v>
      </c>
      <c r="Q89">
        <v>1</v>
      </c>
      <c r="R89" s="4">
        <v>32</v>
      </c>
      <c r="S89" s="4">
        <v>1</v>
      </c>
      <c r="T89" s="4">
        <v>0</v>
      </c>
      <c r="U89">
        <f t="shared" si="2"/>
        <v>0.34283965148438655</v>
      </c>
      <c r="W89" t="s">
        <v>12</v>
      </c>
      <c r="X89" t="s">
        <v>247</v>
      </c>
    </row>
    <row r="90" spans="1:24" x14ac:dyDescent="0.2">
      <c r="A90">
        <v>89</v>
      </c>
      <c r="C90" t="s">
        <v>15</v>
      </c>
      <c r="D90" t="s">
        <v>267</v>
      </c>
      <c r="E90" t="s">
        <v>268</v>
      </c>
      <c r="G90" t="s">
        <v>374</v>
      </c>
      <c r="H90" t="s">
        <v>269</v>
      </c>
      <c r="I90" t="s">
        <v>393</v>
      </c>
      <c r="J90" t="s">
        <v>429</v>
      </c>
      <c r="L90" t="s">
        <v>270</v>
      </c>
      <c r="M90" t="s">
        <v>270</v>
      </c>
      <c r="N90">
        <v>4</v>
      </c>
      <c r="Q90">
        <v>1</v>
      </c>
      <c r="R90" s="4">
        <v>12</v>
      </c>
      <c r="S90" s="4">
        <v>15</v>
      </c>
      <c r="T90" s="4">
        <v>0</v>
      </c>
      <c r="U90">
        <f t="shared" si="2"/>
        <v>0.99380798999990649</v>
      </c>
      <c r="V90" t="s">
        <v>370</v>
      </c>
      <c r="W90" t="s">
        <v>12</v>
      </c>
      <c r="X90" t="s">
        <v>247</v>
      </c>
    </row>
    <row r="91" spans="1:24" x14ac:dyDescent="0.2">
      <c r="A91">
        <v>90</v>
      </c>
      <c r="E91" t="s">
        <v>268</v>
      </c>
      <c r="G91" t="s">
        <v>375</v>
      </c>
      <c r="H91" t="s">
        <v>346</v>
      </c>
      <c r="I91" t="s">
        <v>394</v>
      </c>
      <c r="J91" t="s">
        <v>429</v>
      </c>
      <c r="L91" t="s">
        <v>270</v>
      </c>
      <c r="M91" t="s">
        <v>270</v>
      </c>
      <c r="N91">
        <v>4</v>
      </c>
      <c r="Q91">
        <v>1</v>
      </c>
      <c r="R91" s="4">
        <v>3</v>
      </c>
      <c r="S91" s="4">
        <v>15</v>
      </c>
      <c r="T91" s="4">
        <v>0</v>
      </c>
      <c r="U91">
        <f t="shared" si="2"/>
        <v>0.7453559924999299</v>
      </c>
      <c r="X91" t="s">
        <v>247</v>
      </c>
    </row>
    <row r="92" spans="1:24" x14ac:dyDescent="0.2">
      <c r="A92">
        <v>91</v>
      </c>
      <c r="E92" t="s">
        <v>268</v>
      </c>
      <c r="G92" t="s">
        <v>375</v>
      </c>
      <c r="H92" t="s">
        <v>347</v>
      </c>
      <c r="I92" t="s">
        <v>395</v>
      </c>
      <c r="J92" t="s">
        <v>429</v>
      </c>
      <c r="L92" t="s">
        <v>270</v>
      </c>
      <c r="M92" t="s">
        <v>270</v>
      </c>
      <c r="N92">
        <v>4</v>
      </c>
      <c r="Q92">
        <v>1</v>
      </c>
      <c r="R92" s="4">
        <v>2</v>
      </c>
      <c r="S92" s="4">
        <v>15</v>
      </c>
      <c r="T92" s="4">
        <v>0</v>
      </c>
      <c r="U92">
        <f t="shared" si="2"/>
        <v>0.64437947941784246</v>
      </c>
      <c r="X92" t="s">
        <v>247</v>
      </c>
    </row>
    <row r="93" spans="1:24" x14ac:dyDescent="0.2">
      <c r="A93">
        <v>92</v>
      </c>
      <c r="E93" t="s">
        <v>268</v>
      </c>
      <c r="G93" t="s">
        <v>375</v>
      </c>
      <c r="H93" t="s">
        <v>348</v>
      </c>
      <c r="I93" t="s">
        <v>348</v>
      </c>
      <c r="J93" t="s">
        <v>429</v>
      </c>
      <c r="L93" t="s">
        <v>270</v>
      </c>
      <c r="M93" t="s">
        <v>270</v>
      </c>
      <c r="N93">
        <v>4</v>
      </c>
      <c r="Q93">
        <v>1</v>
      </c>
      <c r="R93" s="4">
        <v>2</v>
      </c>
      <c r="S93" s="4">
        <v>15</v>
      </c>
      <c r="T93" s="4">
        <v>0</v>
      </c>
      <c r="U93">
        <f t="shared" si="2"/>
        <v>0.64437947941784246</v>
      </c>
      <c r="X93" t="s">
        <v>247</v>
      </c>
    </row>
    <row r="94" spans="1:24" x14ac:dyDescent="0.2">
      <c r="A94">
        <v>93</v>
      </c>
      <c r="C94" t="s">
        <v>15</v>
      </c>
      <c r="D94" t="s">
        <v>271</v>
      </c>
      <c r="E94" t="s">
        <v>272</v>
      </c>
      <c r="G94" t="s">
        <v>374</v>
      </c>
      <c r="H94" t="s">
        <v>269</v>
      </c>
      <c r="I94" t="s">
        <v>386</v>
      </c>
      <c r="J94" t="s">
        <v>429</v>
      </c>
      <c r="L94" t="s">
        <v>273</v>
      </c>
      <c r="M94" t="s">
        <v>270</v>
      </c>
      <c r="N94">
        <v>5</v>
      </c>
      <c r="Q94">
        <v>1</v>
      </c>
      <c r="R94" s="4">
        <v>5</v>
      </c>
      <c r="S94" s="4">
        <v>0</v>
      </c>
      <c r="T94" s="4">
        <v>0</v>
      </c>
      <c r="U94">
        <f t="shared" si="2"/>
        <v>0</v>
      </c>
      <c r="V94" t="s">
        <v>371</v>
      </c>
      <c r="W94" t="s">
        <v>12</v>
      </c>
      <c r="X94" t="s">
        <v>247</v>
      </c>
    </row>
    <row r="95" spans="1:24" x14ac:dyDescent="0.2">
      <c r="A95">
        <v>94</v>
      </c>
      <c r="C95" t="s">
        <v>15</v>
      </c>
      <c r="D95" t="s">
        <v>271</v>
      </c>
      <c r="E95" t="s">
        <v>272</v>
      </c>
      <c r="G95" t="s">
        <v>375</v>
      </c>
      <c r="H95" t="s">
        <v>274</v>
      </c>
      <c r="I95" t="s">
        <v>396</v>
      </c>
      <c r="J95" t="s">
        <v>429</v>
      </c>
      <c r="L95" t="s">
        <v>273</v>
      </c>
      <c r="M95" t="s">
        <v>270</v>
      </c>
      <c r="N95">
        <v>5</v>
      </c>
      <c r="Q95">
        <v>1</v>
      </c>
      <c r="R95" s="4">
        <v>5</v>
      </c>
      <c r="S95" s="4">
        <v>0</v>
      </c>
      <c r="T95" s="4">
        <v>0</v>
      </c>
      <c r="U95">
        <f t="shared" si="2"/>
        <v>0</v>
      </c>
      <c r="W95" t="s">
        <v>12</v>
      </c>
      <c r="X95" t="s">
        <v>247</v>
      </c>
    </row>
    <row r="96" spans="1:24" x14ac:dyDescent="0.2">
      <c r="A96">
        <v>95</v>
      </c>
      <c r="C96" t="s">
        <v>15</v>
      </c>
      <c r="D96" t="s">
        <v>271</v>
      </c>
      <c r="E96" t="s">
        <v>272</v>
      </c>
      <c r="G96" t="s">
        <v>375</v>
      </c>
      <c r="H96" t="s">
        <v>275</v>
      </c>
      <c r="I96" t="s">
        <v>397</v>
      </c>
      <c r="J96" t="s">
        <v>429</v>
      </c>
      <c r="L96" t="s">
        <v>273</v>
      </c>
      <c r="M96" t="s">
        <v>270</v>
      </c>
      <c r="N96">
        <v>5</v>
      </c>
      <c r="Q96">
        <v>1</v>
      </c>
      <c r="R96" s="4">
        <v>5</v>
      </c>
      <c r="S96" s="4">
        <v>0</v>
      </c>
      <c r="T96" s="4">
        <v>0</v>
      </c>
      <c r="U96">
        <f t="shared" si="2"/>
        <v>0</v>
      </c>
      <c r="W96" t="s">
        <v>12</v>
      </c>
      <c r="X96" t="s">
        <v>247</v>
      </c>
    </row>
    <row r="97" spans="1:24" x14ac:dyDescent="0.2">
      <c r="A97">
        <v>96</v>
      </c>
      <c r="C97" t="s">
        <v>15</v>
      </c>
      <c r="D97" t="s">
        <v>271</v>
      </c>
      <c r="E97" t="s">
        <v>272</v>
      </c>
      <c r="G97" t="s">
        <v>375</v>
      </c>
      <c r="H97" t="s">
        <v>276</v>
      </c>
      <c r="I97" t="s">
        <v>398</v>
      </c>
      <c r="J97" t="s">
        <v>429</v>
      </c>
      <c r="L97" t="s">
        <v>273</v>
      </c>
      <c r="M97" t="s">
        <v>270</v>
      </c>
      <c r="N97">
        <v>5</v>
      </c>
      <c r="Q97">
        <v>1</v>
      </c>
      <c r="R97" s="4">
        <v>0</v>
      </c>
      <c r="S97" s="4">
        <v>5</v>
      </c>
      <c r="T97" s="4">
        <v>0</v>
      </c>
      <c r="U97">
        <f t="shared" si="2"/>
        <v>0</v>
      </c>
      <c r="W97" t="s">
        <v>12</v>
      </c>
      <c r="X97" t="s">
        <v>247</v>
      </c>
    </row>
    <row r="98" spans="1:24" x14ac:dyDescent="0.2">
      <c r="A98">
        <v>97</v>
      </c>
      <c r="C98" t="s">
        <v>15</v>
      </c>
      <c r="D98" t="s">
        <v>271</v>
      </c>
      <c r="E98" t="s">
        <v>272</v>
      </c>
      <c r="G98" t="s">
        <v>375</v>
      </c>
      <c r="H98" t="s">
        <v>277</v>
      </c>
      <c r="I98" t="s">
        <v>399</v>
      </c>
      <c r="J98" t="s">
        <v>429</v>
      </c>
      <c r="L98" t="s">
        <v>273</v>
      </c>
      <c r="M98" t="s">
        <v>270</v>
      </c>
      <c r="N98">
        <v>5</v>
      </c>
      <c r="Q98">
        <v>1</v>
      </c>
      <c r="R98" s="4">
        <v>0</v>
      </c>
      <c r="S98" s="4">
        <v>5</v>
      </c>
      <c r="T98" s="4">
        <v>0</v>
      </c>
      <c r="U98">
        <f t="shared" si="2"/>
        <v>0</v>
      </c>
      <c r="W98" t="s">
        <v>12</v>
      </c>
      <c r="X98" t="s">
        <v>247</v>
      </c>
    </row>
    <row r="99" spans="1:24" hidden="1" x14ac:dyDescent="0.2">
      <c r="A99">
        <v>98</v>
      </c>
      <c r="C99" t="s">
        <v>15</v>
      </c>
      <c r="D99" t="s">
        <v>278</v>
      </c>
      <c r="E99" t="s">
        <v>279</v>
      </c>
      <c r="G99" t="s">
        <v>374</v>
      </c>
      <c r="H99" t="s">
        <v>349</v>
      </c>
      <c r="J99" t="s">
        <v>428</v>
      </c>
      <c r="L99" t="s">
        <v>281</v>
      </c>
      <c r="M99" t="s">
        <v>281</v>
      </c>
      <c r="N99">
        <v>3</v>
      </c>
      <c r="Q99">
        <v>1</v>
      </c>
      <c r="R99" s="4">
        <v>40</v>
      </c>
      <c r="S99" s="4">
        <v>6</v>
      </c>
      <c r="T99" s="4">
        <v>0</v>
      </c>
      <c r="U99">
        <f t="shared" si="2"/>
        <v>0.67356232107955083</v>
      </c>
      <c r="W99" t="s">
        <v>12</v>
      </c>
      <c r="X99" t="s">
        <v>247</v>
      </c>
    </row>
    <row r="100" spans="1:24" hidden="1" x14ac:dyDescent="0.2">
      <c r="A100">
        <v>99</v>
      </c>
      <c r="C100" t="s">
        <v>15</v>
      </c>
      <c r="D100" t="s">
        <v>278</v>
      </c>
      <c r="E100" t="s">
        <v>279</v>
      </c>
      <c r="G100" t="s">
        <v>374</v>
      </c>
      <c r="H100" t="s">
        <v>350</v>
      </c>
      <c r="J100" t="s">
        <v>428</v>
      </c>
      <c r="L100" t="s">
        <v>281</v>
      </c>
      <c r="M100" t="s">
        <v>281</v>
      </c>
      <c r="N100">
        <v>3</v>
      </c>
      <c r="Q100">
        <v>1</v>
      </c>
      <c r="R100" s="4">
        <v>24</v>
      </c>
      <c r="S100" s="4">
        <v>14</v>
      </c>
      <c r="T100" s="4">
        <v>0</v>
      </c>
      <c r="U100">
        <f t="shared" si="2"/>
        <v>0.96475277788544</v>
      </c>
      <c r="X100" t="s">
        <v>247</v>
      </c>
    </row>
    <row r="101" spans="1:24" hidden="1" x14ac:dyDescent="0.2">
      <c r="A101">
        <v>100</v>
      </c>
      <c r="C101" t="s">
        <v>15</v>
      </c>
      <c r="D101" t="s">
        <v>282</v>
      </c>
      <c r="E101" t="s">
        <v>283</v>
      </c>
      <c r="G101" t="s">
        <v>374</v>
      </c>
      <c r="H101" t="s">
        <v>284</v>
      </c>
      <c r="J101" t="s">
        <v>428</v>
      </c>
      <c r="L101" t="s">
        <v>285</v>
      </c>
      <c r="M101" t="s">
        <v>285</v>
      </c>
      <c r="N101">
        <v>3</v>
      </c>
      <c r="Q101">
        <v>1</v>
      </c>
      <c r="R101" s="4">
        <v>5</v>
      </c>
      <c r="S101" s="4">
        <v>0</v>
      </c>
      <c r="T101" s="4">
        <v>0</v>
      </c>
      <c r="U101">
        <f t="shared" si="2"/>
        <v>0</v>
      </c>
      <c r="V101" t="s">
        <v>351</v>
      </c>
      <c r="W101" t="s">
        <v>12</v>
      </c>
      <c r="X101" t="s">
        <v>247</v>
      </c>
    </row>
    <row r="102" spans="1:24" hidden="1" x14ac:dyDescent="0.2">
      <c r="A102">
        <v>101</v>
      </c>
      <c r="C102" t="s">
        <v>15</v>
      </c>
      <c r="D102" t="s">
        <v>286</v>
      </c>
      <c r="E102" t="s">
        <v>287</v>
      </c>
      <c r="G102" t="s">
        <v>374</v>
      </c>
      <c r="H102" t="s">
        <v>280</v>
      </c>
      <c r="J102" t="s">
        <v>428</v>
      </c>
      <c r="L102" t="s">
        <v>288</v>
      </c>
      <c r="M102" t="s">
        <v>288</v>
      </c>
      <c r="N102">
        <v>3</v>
      </c>
      <c r="Q102">
        <v>1</v>
      </c>
      <c r="R102" s="4">
        <v>5</v>
      </c>
      <c r="S102" s="4">
        <v>0</v>
      </c>
      <c r="T102" s="4">
        <v>0</v>
      </c>
      <c r="U102">
        <f t="shared" si="2"/>
        <v>0</v>
      </c>
      <c r="W102" t="s">
        <v>12</v>
      </c>
      <c r="X102" t="s">
        <v>247</v>
      </c>
    </row>
    <row r="103" spans="1:24" hidden="1" x14ac:dyDescent="0.2">
      <c r="A103">
        <v>102</v>
      </c>
      <c r="C103" t="s">
        <v>15</v>
      </c>
      <c r="D103" t="s">
        <v>289</v>
      </c>
      <c r="E103" t="s">
        <v>290</v>
      </c>
      <c r="G103" t="s">
        <v>374</v>
      </c>
      <c r="H103" t="s">
        <v>262</v>
      </c>
      <c r="J103" t="s">
        <v>428</v>
      </c>
      <c r="L103" t="s">
        <v>291</v>
      </c>
      <c r="M103" t="s">
        <v>291</v>
      </c>
      <c r="N103">
        <v>0</v>
      </c>
      <c r="Q103">
        <v>1</v>
      </c>
      <c r="R103" s="4">
        <v>29</v>
      </c>
      <c r="S103" s="4">
        <v>4</v>
      </c>
      <c r="T103" s="4">
        <v>0</v>
      </c>
      <c r="U103">
        <f t="shared" si="2"/>
        <v>0.6527472493496369</v>
      </c>
      <c r="W103" t="s">
        <v>12</v>
      </c>
      <c r="X103" t="s">
        <v>247</v>
      </c>
    </row>
    <row r="104" spans="1:24" hidden="1" x14ac:dyDescent="0.2">
      <c r="A104">
        <v>103</v>
      </c>
      <c r="C104" t="s">
        <v>15</v>
      </c>
      <c r="D104" t="s">
        <v>292</v>
      </c>
      <c r="E104" t="s">
        <v>293</v>
      </c>
      <c r="G104" t="s">
        <v>374</v>
      </c>
      <c r="H104" t="s">
        <v>262</v>
      </c>
      <c r="J104" t="s">
        <v>428</v>
      </c>
      <c r="L104" t="s">
        <v>294</v>
      </c>
      <c r="M104" t="s">
        <v>294</v>
      </c>
      <c r="N104">
        <v>0</v>
      </c>
      <c r="Q104">
        <v>1</v>
      </c>
      <c r="R104" s="4">
        <v>47</v>
      </c>
      <c r="S104" s="4">
        <v>4</v>
      </c>
      <c r="T104" s="4">
        <v>0</v>
      </c>
      <c r="U104">
        <f t="shared" si="2"/>
        <v>0.53769840003145453</v>
      </c>
      <c r="W104" t="s">
        <v>12</v>
      </c>
      <c r="X104" t="s">
        <v>247</v>
      </c>
    </row>
    <row r="105" spans="1:24" x14ac:dyDescent="0.2">
      <c r="A105">
        <v>104</v>
      </c>
      <c r="D105" t="s">
        <v>295</v>
      </c>
      <c r="E105" t="s">
        <v>296</v>
      </c>
      <c r="G105" t="s">
        <v>374</v>
      </c>
      <c r="H105" t="s">
        <v>352</v>
      </c>
      <c r="I105" t="s">
        <v>400</v>
      </c>
      <c r="J105" t="s">
        <v>429</v>
      </c>
      <c r="K105" t="s">
        <v>388</v>
      </c>
      <c r="L105" t="s">
        <v>297</v>
      </c>
      <c r="M105" t="s">
        <v>297</v>
      </c>
      <c r="N105">
        <v>2</v>
      </c>
      <c r="Q105">
        <v>1</v>
      </c>
      <c r="R105" s="4">
        <v>35</v>
      </c>
      <c r="S105" s="4">
        <v>4</v>
      </c>
      <c r="T105" s="4">
        <v>0</v>
      </c>
      <c r="U105">
        <f t="shared" si="2"/>
        <v>0.60677741365124271</v>
      </c>
      <c r="X105" t="s">
        <v>247</v>
      </c>
    </row>
    <row r="106" spans="1:24" x14ac:dyDescent="0.2">
      <c r="A106">
        <v>105</v>
      </c>
      <c r="C106" t="s">
        <v>15</v>
      </c>
      <c r="D106" t="s">
        <v>295</v>
      </c>
      <c r="E106" t="s">
        <v>296</v>
      </c>
      <c r="G106" t="s">
        <v>375</v>
      </c>
      <c r="H106" t="s">
        <v>353</v>
      </c>
      <c r="I106" t="s">
        <v>401</v>
      </c>
      <c r="J106" t="s">
        <v>429</v>
      </c>
      <c r="K106" t="s">
        <v>388</v>
      </c>
      <c r="L106" t="s">
        <v>297</v>
      </c>
      <c r="M106" t="s">
        <v>297</v>
      </c>
      <c r="N106">
        <v>2</v>
      </c>
      <c r="Q106">
        <v>1</v>
      </c>
      <c r="R106" s="4">
        <v>27</v>
      </c>
      <c r="S106" s="4">
        <v>4</v>
      </c>
      <c r="T106" s="4">
        <v>0</v>
      </c>
      <c r="U106">
        <f t="shared" si="2"/>
        <v>0.67047128034924275</v>
      </c>
      <c r="W106" t="s">
        <v>12</v>
      </c>
      <c r="X106" t="s">
        <v>247</v>
      </c>
    </row>
    <row r="107" spans="1:24" x14ac:dyDescent="0.2">
      <c r="A107">
        <v>106</v>
      </c>
      <c r="C107" t="s">
        <v>15</v>
      </c>
      <c r="D107" t="s">
        <v>299</v>
      </c>
      <c r="E107" t="s">
        <v>300</v>
      </c>
      <c r="G107" t="s">
        <v>374</v>
      </c>
      <c r="H107" t="s">
        <v>298</v>
      </c>
      <c r="I107" t="s">
        <v>387</v>
      </c>
      <c r="J107" t="s">
        <v>429</v>
      </c>
      <c r="L107" s="1" t="s">
        <v>354</v>
      </c>
      <c r="M107" t="s">
        <v>301</v>
      </c>
      <c r="N107">
        <v>6</v>
      </c>
      <c r="Q107">
        <v>1</v>
      </c>
      <c r="R107" s="4">
        <v>30</v>
      </c>
      <c r="S107" s="4">
        <v>0</v>
      </c>
      <c r="T107" s="4">
        <v>0</v>
      </c>
      <c r="U107">
        <f t="shared" si="2"/>
        <v>0</v>
      </c>
      <c r="W107" t="s">
        <v>12</v>
      </c>
      <c r="X107" t="s">
        <v>247</v>
      </c>
    </row>
    <row r="108" spans="1:24" hidden="1" x14ac:dyDescent="0.2">
      <c r="A108">
        <v>107</v>
      </c>
      <c r="C108" t="s">
        <v>15</v>
      </c>
      <c r="D108" t="s">
        <v>302</v>
      </c>
      <c r="E108" t="s">
        <v>303</v>
      </c>
      <c r="G108" t="s">
        <v>374</v>
      </c>
      <c r="H108" t="s">
        <v>262</v>
      </c>
      <c r="J108" t="s">
        <v>428</v>
      </c>
      <c r="L108" t="s">
        <v>304</v>
      </c>
      <c r="M108" t="s">
        <v>304</v>
      </c>
      <c r="N108">
        <v>0</v>
      </c>
      <c r="Q108">
        <v>1</v>
      </c>
      <c r="R108" s="4">
        <v>37</v>
      </c>
      <c r="S108" s="4">
        <v>1</v>
      </c>
      <c r="T108" s="4">
        <v>0</v>
      </c>
      <c r="U108">
        <f t="shared" si="2"/>
        <v>0.32014539633148548</v>
      </c>
      <c r="W108" t="s">
        <v>12</v>
      </c>
      <c r="X108" t="s">
        <v>247</v>
      </c>
    </row>
    <row r="109" spans="1:24" ht="64" hidden="1" x14ac:dyDescent="0.2">
      <c r="A109">
        <v>108</v>
      </c>
      <c r="C109" t="s">
        <v>15</v>
      </c>
      <c r="D109" t="s">
        <v>218</v>
      </c>
      <c r="E109" t="s">
        <v>305</v>
      </c>
      <c r="G109" t="s">
        <v>374</v>
      </c>
      <c r="H109" t="s">
        <v>298</v>
      </c>
      <c r="I109" t="s">
        <v>387</v>
      </c>
      <c r="J109" t="s">
        <v>428</v>
      </c>
      <c r="L109" s="6" t="s">
        <v>355</v>
      </c>
      <c r="M109" s="3" t="s">
        <v>368</v>
      </c>
      <c r="N109">
        <v>6</v>
      </c>
      <c r="Q109">
        <v>1</v>
      </c>
      <c r="R109" s="4">
        <v>5</v>
      </c>
      <c r="S109" s="4">
        <v>0</v>
      </c>
      <c r="T109" s="4">
        <v>0</v>
      </c>
      <c r="U109">
        <f t="shared" si="2"/>
        <v>0</v>
      </c>
      <c r="V109" t="s">
        <v>356</v>
      </c>
      <c r="W109" t="s">
        <v>12</v>
      </c>
      <c r="X109" t="s">
        <v>247</v>
      </c>
    </row>
    <row r="110" spans="1:24" x14ac:dyDescent="0.2">
      <c r="A110">
        <v>109</v>
      </c>
      <c r="C110" t="s">
        <v>15</v>
      </c>
      <c r="D110" t="s">
        <v>306</v>
      </c>
      <c r="E110" t="s">
        <v>307</v>
      </c>
      <c r="G110" t="s">
        <v>374</v>
      </c>
      <c r="H110" t="s">
        <v>357</v>
      </c>
      <c r="I110" t="s">
        <v>389</v>
      </c>
      <c r="J110" t="s">
        <v>429</v>
      </c>
      <c r="K110" t="s">
        <v>359</v>
      </c>
      <c r="L110" t="s">
        <v>308</v>
      </c>
      <c r="M110" t="s">
        <v>308</v>
      </c>
      <c r="N110">
        <v>4</v>
      </c>
      <c r="Q110">
        <v>1</v>
      </c>
      <c r="R110" s="4">
        <v>49</v>
      </c>
      <c r="S110">
        <v>47</v>
      </c>
      <c r="T110" s="4">
        <v>0</v>
      </c>
      <c r="U110">
        <f t="shared" si="2"/>
        <v>0.99978296255848564</v>
      </c>
      <c r="W110" t="s">
        <v>12</v>
      </c>
      <c r="X110" t="s">
        <v>247</v>
      </c>
    </row>
    <row r="111" spans="1:24" x14ac:dyDescent="0.2">
      <c r="A111">
        <v>110</v>
      </c>
      <c r="C111" t="s">
        <v>15</v>
      </c>
      <c r="D111" t="s">
        <v>306</v>
      </c>
      <c r="E111" t="s">
        <v>307</v>
      </c>
      <c r="G111" t="s">
        <v>375</v>
      </c>
      <c r="H111" t="s">
        <v>357</v>
      </c>
      <c r="I111" t="s">
        <v>403</v>
      </c>
      <c r="J111" t="s">
        <v>429</v>
      </c>
      <c r="K111" t="s">
        <v>359</v>
      </c>
      <c r="L111" t="s">
        <v>308</v>
      </c>
      <c r="M111" t="s">
        <v>308</v>
      </c>
      <c r="N111">
        <v>4</v>
      </c>
      <c r="Q111">
        <v>1</v>
      </c>
      <c r="R111" s="4">
        <v>32</v>
      </c>
      <c r="S111">
        <v>64</v>
      </c>
      <c r="T111" s="4">
        <v>0</v>
      </c>
      <c r="U111">
        <f t="shared" si="2"/>
        <v>0.94280904158206336</v>
      </c>
      <c r="W111" t="s">
        <v>12</v>
      </c>
      <c r="X111" t="s">
        <v>247</v>
      </c>
    </row>
    <row r="112" spans="1:24" x14ac:dyDescent="0.2">
      <c r="A112">
        <v>111</v>
      </c>
      <c r="C112" t="s">
        <v>15</v>
      </c>
      <c r="D112" t="s">
        <v>306</v>
      </c>
      <c r="E112" t="s">
        <v>307</v>
      </c>
      <c r="G112" t="s">
        <v>375</v>
      </c>
      <c r="H112" t="s">
        <v>357</v>
      </c>
      <c r="I112" t="s">
        <v>389</v>
      </c>
      <c r="J112" t="s">
        <v>429</v>
      </c>
      <c r="K112" t="s">
        <v>359</v>
      </c>
      <c r="L112" t="s">
        <v>308</v>
      </c>
      <c r="M112" t="s">
        <v>308</v>
      </c>
      <c r="N112">
        <v>4</v>
      </c>
      <c r="Q112">
        <v>1</v>
      </c>
      <c r="R112" s="4">
        <v>6</v>
      </c>
      <c r="S112">
        <v>90</v>
      </c>
      <c r="T112" s="4">
        <v>0</v>
      </c>
      <c r="U112">
        <f t="shared" si="2"/>
        <v>0.48412291827592713</v>
      </c>
      <c r="W112" t="s">
        <v>12</v>
      </c>
      <c r="X112" t="s">
        <v>247</v>
      </c>
    </row>
    <row r="113" spans="1:24" x14ac:dyDescent="0.2">
      <c r="A113">
        <v>112</v>
      </c>
      <c r="D113" t="s">
        <v>306</v>
      </c>
      <c r="E113" t="s">
        <v>307</v>
      </c>
      <c r="G113" t="s">
        <v>375</v>
      </c>
      <c r="H113" t="s">
        <v>357</v>
      </c>
      <c r="I113" t="s">
        <v>404</v>
      </c>
      <c r="J113" t="s">
        <v>429</v>
      </c>
      <c r="K113" t="s">
        <v>359</v>
      </c>
      <c r="L113" t="s">
        <v>308</v>
      </c>
      <c r="M113" t="s">
        <v>308</v>
      </c>
      <c r="N113">
        <v>4</v>
      </c>
      <c r="Q113">
        <v>1</v>
      </c>
      <c r="R113" s="4">
        <v>5</v>
      </c>
      <c r="S113">
        <v>91</v>
      </c>
      <c r="T113" s="4">
        <v>0</v>
      </c>
      <c r="U113">
        <f t="shared" si="2"/>
        <v>0.44439018766044874</v>
      </c>
      <c r="X113" t="s">
        <v>247</v>
      </c>
    </row>
    <row r="114" spans="1:24" x14ac:dyDescent="0.2">
      <c r="A114">
        <v>113</v>
      </c>
      <c r="D114" t="s">
        <v>306</v>
      </c>
      <c r="E114" t="s">
        <v>307</v>
      </c>
      <c r="G114" t="s">
        <v>375</v>
      </c>
      <c r="H114" t="s">
        <v>357</v>
      </c>
      <c r="I114" t="s">
        <v>405</v>
      </c>
      <c r="J114" t="s">
        <v>429</v>
      </c>
      <c r="K114" t="s">
        <v>359</v>
      </c>
      <c r="L114" t="s">
        <v>308</v>
      </c>
      <c r="M114" t="s">
        <v>308</v>
      </c>
      <c r="N114">
        <v>4</v>
      </c>
      <c r="Q114">
        <v>1</v>
      </c>
      <c r="R114" s="4">
        <v>4</v>
      </c>
      <c r="S114">
        <v>92</v>
      </c>
      <c r="T114" s="4">
        <v>0</v>
      </c>
      <c r="U114">
        <f t="shared" si="2"/>
        <v>0.39965262694272674</v>
      </c>
      <c r="X114" t="s">
        <v>247</v>
      </c>
    </row>
    <row r="115" spans="1:24" x14ac:dyDescent="0.2">
      <c r="A115">
        <v>114</v>
      </c>
      <c r="D115" t="s">
        <v>306</v>
      </c>
      <c r="E115" t="s">
        <v>307</v>
      </c>
      <c r="G115" t="s">
        <v>374</v>
      </c>
      <c r="H115" t="s">
        <v>357</v>
      </c>
      <c r="I115" t="s">
        <v>390</v>
      </c>
      <c r="J115" t="s">
        <v>429</v>
      </c>
      <c r="K115" t="s">
        <v>360</v>
      </c>
      <c r="L115" t="s">
        <v>308</v>
      </c>
      <c r="M115" t="s">
        <v>308</v>
      </c>
      <c r="N115">
        <v>5</v>
      </c>
      <c r="Q115">
        <v>1</v>
      </c>
      <c r="R115" s="4">
        <v>31</v>
      </c>
      <c r="S115">
        <v>59</v>
      </c>
      <c r="T115" s="4">
        <v>0</v>
      </c>
      <c r="U115">
        <f t="shared" si="2"/>
        <v>0.95037354579302646</v>
      </c>
      <c r="X115" t="s">
        <v>247</v>
      </c>
    </row>
    <row r="116" spans="1:24" x14ac:dyDescent="0.2">
      <c r="A116">
        <v>115</v>
      </c>
      <c r="D116" t="s">
        <v>306</v>
      </c>
      <c r="E116" t="s">
        <v>307</v>
      </c>
      <c r="G116" t="s">
        <v>375</v>
      </c>
      <c r="H116" t="s">
        <v>357</v>
      </c>
      <c r="I116" t="s">
        <v>406</v>
      </c>
      <c r="J116" t="s">
        <v>429</v>
      </c>
      <c r="K116" t="s">
        <v>360</v>
      </c>
      <c r="L116" t="s">
        <v>308</v>
      </c>
      <c r="M116" t="s">
        <v>308</v>
      </c>
      <c r="N116">
        <v>5</v>
      </c>
      <c r="Q116">
        <v>1</v>
      </c>
      <c r="R116" s="4">
        <v>29</v>
      </c>
      <c r="S116">
        <v>61</v>
      </c>
      <c r="T116" s="4">
        <v>0</v>
      </c>
      <c r="U116">
        <f t="shared" si="2"/>
        <v>0.93465514865835964</v>
      </c>
      <c r="X116" t="s">
        <v>247</v>
      </c>
    </row>
    <row r="117" spans="1:24" x14ac:dyDescent="0.2">
      <c r="A117">
        <v>116</v>
      </c>
      <c r="D117" t="s">
        <v>306</v>
      </c>
      <c r="E117" t="s">
        <v>307</v>
      </c>
      <c r="G117" t="s">
        <v>375</v>
      </c>
      <c r="H117" t="s">
        <v>357</v>
      </c>
      <c r="I117" t="s">
        <v>407</v>
      </c>
      <c r="J117" t="s">
        <v>429</v>
      </c>
      <c r="K117" t="s">
        <v>360</v>
      </c>
      <c r="L117" t="s">
        <v>308</v>
      </c>
      <c r="M117" t="s">
        <v>308</v>
      </c>
      <c r="N117">
        <v>5</v>
      </c>
      <c r="Q117">
        <v>1</v>
      </c>
      <c r="R117" s="4">
        <v>17</v>
      </c>
      <c r="S117">
        <v>73</v>
      </c>
      <c r="T117" s="4">
        <v>0</v>
      </c>
      <c r="U117">
        <f t="shared" si="2"/>
        <v>0.78284066461371282</v>
      </c>
      <c r="X117" t="s">
        <v>247</v>
      </c>
    </row>
    <row r="118" spans="1:24" x14ac:dyDescent="0.2">
      <c r="A118">
        <v>117</v>
      </c>
      <c r="D118" t="s">
        <v>306</v>
      </c>
      <c r="E118" t="s">
        <v>307</v>
      </c>
      <c r="G118" t="s">
        <v>375</v>
      </c>
      <c r="H118" t="s">
        <v>357</v>
      </c>
      <c r="I118" t="s">
        <v>404</v>
      </c>
      <c r="J118" t="s">
        <v>429</v>
      </c>
      <c r="K118" t="s">
        <v>360</v>
      </c>
      <c r="L118" t="s">
        <v>308</v>
      </c>
      <c r="M118" t="s">
        <v>308</v>
      </c>
      <c r="N118">
        <v>5</v>
      </c>
      <c r="Q118">
        <v>1</v>
      </c>
      <c r="R118" s="4">
        <v>11</v>
      </c>
      <c r="S118">
        <v>79</v>
      </c>
      <c r="T118" s="4">
        <v>0</v>
      </c>
      <c r="U118">
        <f t="shared" si="2"/>
        <v>0.65508457657705221</v>
      </c>
      <c r="X118" t="s">
        <v>247</v>
      </c>
    </row>
    <row r="119" spans="1:24" x14ac:dyDescent="0.2">
      <c r="A119">
        <v>118</v>
      </c>
      <c r="D119" t="s">
        <v>306</v>
      </c>
      <c r="E119" t="s">
        <v>307</v>
      </c>
      <c r="G119" t="s">
        <v>375</v>
      </c>
      <c r="H119" t="s">
        <v>357</v>
      </c>
      <c r="I119" t="s">
        <v>408</v>
      </c>
      <c r="J119" t="s">
        <v>429</v>
      </c>
      <c r="K119" t="s">
        <v>360</v>
      </c>
      <c r="L119" t="s">
        <v>308</v>
      </c>
      <c r="M119" t="s">
        <v>308</v>
      </c>
      <c r="N119">
        <v>5</v>
      </c>
      <c r="Q119">
        <v>1</v>
      </c>
      <c r="R119" s="4">
        <v>1</v>
      </c>
      <c r="S119">
        <v>89</v>
      </c>
      <c r="T119" s="4">
        <v>0</v>
      </c>
      <c r="U119">
        <f t="shared" si="2"/>
        <v>0.20964402515681355</v>
      </c>
      <c r="X119" t="s">
        <v>247</v>
      </c>
    </row>
    <row r="120" spans="1:24" x14ac:dyDescent="0.2">
      <c r="A120">
        <v>119</v>
      </c>
      <c r="D120" t="s">
        <v>306</v>
      </c>
      <c r="E120" t="s">
        <v>307</v>
      </c>
      <c r="G120" t="s">
        <v>375</v>
      </c>
      <c r="H120" t="s">
        <v>357</v>
      </c>
      <c r="I120" t="s">
        <v>405</v>
      </c>
      <c r="J120" t="s">
        <v>429</v>
      </c>
      <c r="K120" t="s">
        <v>360</v>
      </c>
      <c r="L120" t="s">
        <v>308</v>
      </c>
      <c r="M120" t="s">
        <v>308</v>
      </c>
      <c r="N120">
        <v>5</v>
      </c>
      <c r="Q120">
        <v>1</v>
      </c>
      <c r="R120" s="4">
        <v>1</v>
      </c>
      <c r="S120">
        <v>89</v>
      </c>
      <c r="T120" s="4">
        <v>0</v>
      </c>
      <c r="U120">
        <f t="shared" si="2"/>
        <v>0.20964402515681355</v>
      </c>
      <c r="X120" t="s">
        <v>247</v>
      </c>
    </row>
    <row r="121" spans="1:24" x14ac:dyDescent="0.2">
      <c r="A121">
        <v>120</v>
      </c>
      <c r="D121" t="s">
        <v>306</v>
      </c>
      <c r="E121" t="s">
        <v>307</v>
      </c>
      <c r="G121" t="s">
        <v>374</v>
      </c>
      <c r="H121" t="s">
        <v>357</v>
      </c>
      <c r="I121" t="s">
        <v>391</v>
      </c>
      <c r="J121" t="s">
        <v>429</v>
      </c>
      <c r="K121" t="s">
        <v>361</v>
      </c>
      <c r="L121" t="s">
        <v>308</v>
      </c>
      <c r="M121" t="s">
        <v>308</v>
      </c>
      <c r="N121">
        <v>5</v>
      </c>
      <c r="Q121">
        <v>1</v>
      </c>
      <c r="R121" s="4">
        <v>45</v>
      </c>
      <c r="S121">
        <v>41</v>
      </c>
      <c r="T121" s="4">
        <v>0</v>
      </c>
      <c r="U121">
        <f t="shared" si="2"/>
        <v>0.99891774860067584</v>
      </c>
      <c r="X121" t="s">
        <v>247</v>
      </c>
    </row>
    <row r="122" spans="1:24" x14ac:dyDescent="0.2">
      <c r="A122">
        <v>121</v>
      </c>
      <c r="D122" t="s">
        <v>306</v>
      </c>
      <c r="E122" t="s">
        <v>307</v>
      </c>
      <c r="G122" t="s">
        <v>375</v>
      </c>
      <c r="H122" t="s">
        <v>357</v>
      </c>
      <c r="I122" t="s">
        <v>409</v>
      </c>
      <c r="J122" t="s">
        <v>429</v>
      </c>
      <c r="K122" t="s">
        <v>361</v>
      </c>
      <c r="L122" t="s">
        <v>308</v>
      </c>
      <c r="M122" t="s">
        <v>308</v>
      </c>
      <c r="N122">
        <v>5</v>
      </c>
      <c r="Q122">
        <v>1</v>
      </c>
      <c r="R122" s="4">
        <v>15</v>
      </c>
      <c r="S122">
        <v>71</v>
      </c>
      <c r="T122" s="4">
        <v>0</v>
      </c>
      <c r="U122">
        <f t="shared" si="2"/>
        <v>0.75893808707352184</v>
      </c>
      <c r="X122" t="s">
        <v>247</v>
      </c>
    </row>
    <row r="123" spans="1:24" x14ac:dyDescent="0.2">
      <c r="A123">
        <v>122</v>
      </c>
      <c r="D123" t="s">
        <v>306</v>
      </c>
      <c r="E123" t="s">
        <v>307</v>
      </c>
      <c r="G123" t="s">
        <v>375</v>
      </c>
      <c r="H123" t="s">
        <v>357</v>
      </c>
      <c r="I123" t="s">
        <v>410</v>
      </c>
      <c r="J123" t="s">
        <v>429</v>
      </c>
      <c r="K123" t="s">
        <v>361</v>
      </c>
      <c r="L123" t="s">
        <v>308</v>
      </c>
      <c r="M123" t="s">
        <v>308</v>
      </c>
      <c r="N123">
        <v>5</v>
      </c>
      <c r="Q123">
        <v>1</v>
      </c>
      <c r="R123" s="4">
        <v>9</v>
      </c>
      <c r="S123">
        <v>77</v>
      </c>
      <c r="T123" s="4">
        <v>0</v>
      </c>
      <c r="U123">
        <f t="shared" si="2"/>
        <v>0.61220681772503183</v>
      </c>
      <c r="X123" t="s">
        <v>247</v>
      </c>
    </row>
    <row r="124" spans="1:24" x14ac:dyDescent="0.2">
      <c r="A124">
        <v>123</v>
      </c>
      <c r="D124" t="s">
        <v>306</v>
      </c>
      <c r="E124" t="s">
        <v>307</v>
      </c>
      <c r="G124" t="s">
        <v>375</v>
      </c>
      <c r="H124" t="s">
        <v>357</v>
      </c>
      <c r="I124" t="s">
        <v>404</v>
      </c>
      <c r="J124" t="s">
        <v>429</v>
      </c>
      <c r="K124" t="s">
        <v>361</v>
      </c>
      <c r="L124" t="s">
        <v>308</v>
      </c>
      <c r="M124" t="s">
        <v>308</v>
      </c>
      <c r="N124">
        <v>5</v>
      </c>
      <c r="Q124">
        <v>1</v>
      </c>
      <c r="R124" s="4">
        <v>8</v>
      </c>
      <c r="S124">
        <v>78</v>
      </c>
      <c r="T124" s="4">
        <v>0</v>
      </c>
      <c r="U124">
        <f t="shared" si="2"/>
        <v>0.58093004636264167</v>
      </c>
      <c r="X124" t="s">
        <v>247</v>
      </c>
    </row>
    <row r="125" spans="1:24" x14ac:dyDescent="0.2">
      <c r="A125">
        <v>124</v>
      </c>
      <c r="D125" t="s">
        <v>306</v>
      </c>
      <c r="E125" t="s">
        <v>307</v>
      </c>
      <c r="G125" t="s">
        <v>375</v>
      </c>
      <c r="H125" t="s">
        <v>357</v>
      </c>
      <c r="I125" t="s">
        <v>405</v>
      </c>
      <c r="J125" t="s">
        <v>429</v>
      </c>
      <c r="K125" t="s">
        <v>361</v>
      </c>
      <c r="L125" t="s">
        <v>308</v>
      </c>
      <c r="M125" t="s">
        <v>308</v>
      </c>
      <c r="N125">
        <v>5</v>
      </c>
      <c r="Q125">
        <v>1</v>
      </c>
      <c r="R125" s="4">
        <v>6</v>
      </c>
      <c r="S125">
        <v>80</v>
      </c>
      <c r="T125" s="4">
        <v>0</v>
      </c>
      <c r="U125">
        <f t="shared" si="2"/>
        <v>0.50950935581875922</v>
      </c>
      <c r="X125" t="s">
        <v>247</v>
      </c>
    </row>
    <row r="126" spans="1:24" x14ac:dyDescent="0.2">
      <c r="A126">
        <v>125</v>
      </c>
      <c r="D126" t="s">
        <v>306</v>
      </c>
      <c r="E126" t="s">
        <v>307</v>
      </c>
      <c r="G126" t="s">
        <v>375</v>
      </c>
      <c r="H126" t="s">
        <v>357</v>
      </c>
      <c r="I126" t="s">
        <v>411</v>
      </c>
      <c r="J126" t="s">
        <v>429</v>
      </c>
      <c r="K126" t="s">
        <v>361</v>
      </c>
      <c r="L126" t="s">
        <v>308</v>
      </c>
      <c r="M126" t="s">
        <v>308</v>
      </c>
      <c r="N126">
        <v>5</v>
      </c>
      <c r="Q126">
        <v>1</v>
      </c>
      <c r="R126" s="4">
        <v>3</v>
      </c>
      <c r="S126">
        <v>83</v>
      </c>
      <c r="T126" s="4">
        <v>0</v>
      </c>
      <c r="U126">
        <f t="shared" si="2"/>
        <v>0.36697055437347681</v>
      </c>
      <c r="X126" t="s">
        <v>247</v>
      </c>
    </row>
    <row r="127" spans="1:24" x14ac:dyDescent="0.2">
      <c r="A127">
        <v>126</v>
      </c>
      <c r="D127" t="s">
        <v>306</v>
      </c>
      <c r="E127" t="s">
        <v>307</v>
      </c>
      <c r="G127" t="s">
        <v>374</v>
      </c>
      <c r="H127" t="s">
        <v>357</v>
      </c>
      <c r="I127" t="s">
        <v>392</v>
      </c>
      <c r="J127" t="s">
        <v>429</v>
      </c>
      <c r="K127" t="s">
        <v>362</v>
      </c>
      <c r="L127" t="s">
        <v>308</v>
      </c>
      <c r="M127" t="s">
        <v>308</v>
      </c>
      <c r="N127">
        <v>4</v>
      </c>
      <c r="Q127">
        <v>1</v>
      </c>
      <c r="R127" s="4">
        <v>39</v>
      </c>
      <c r="S127">
        <v>51</v>
      </c>
      <c r="T127" s="4">
        <v>0</v>
      </c>
      <c r="U127">
        <f t="shared" si="2"/>
        <v>0.99107124982123374</v>
      </c>
      <c r="X127" t="s">
        <v>247</v>
      </c>
    </row>
    <row r="128" spans="1:24" x14ac:dyDescent="0.2">
      <c r="A128">
        <v>127</v>
      </c>
      <c r="D128" t="s">
        <v>306</v>
      </c>
      <c r="E128" t="s">
        <v>307</v>
      </c>
      <c r="G128" t="s">
        <v>375</v>
      </c>
      <c r="H128" t="s">
        <v>357</v>
      </c>
      <c r="I128" t="s">
        <v>412</v>
      </c>
      <c r="J128" t="s">
        <v>429</v>
      </c>
      <c r="K128" t="s">
        <v>362</v>
      </c>
      <c r="L128" t="s">
        <v>308</v>
      </c>
      <c r="M128" t="s">
        <v>308</v>
      </c>
      <c r="N128">
        <v>4</v>
      </c>
      <c r="Q128">
        <v>1</v>
      </c>
      <c r="R128" s="4">
        <v>22</v>
      </c>
      <c r="S128">
        <v>68</v>
      </c>
      <c r="T128" s="4">
        <v>0</v>
      </c>
      <c r="U128">
        <f t="shared" si="2"/>
        <v>0.85951464914727638</v>
      </c>
      <c r="X128" t="s">
        <v>247</v>
      </c>
    </row>
    <row r="129" spans="1:24" x14ac:dyDescent="0.2">
      <c r="A129">
        <v>128</v>
      </c>
      <c r="D129" t="s">
        <v>306</v>
      </c>
      <c r="E129" t="s">
        <v>307</v>
      </c>
      <c r="G129" t="s">
        <v>375</v>
      </c>
      <c r="H129" t="s">
        <v>357</v>
      </c>
      <c r="I129" t="s">
        <v>413</v>
      </c>
      <c r="J129" t="s">
        <v>429</v>
      </c>
      <c r="K129" t="s">
        <v>362</v>
      </c>
      <c r="L129" t="s">
        <v>308</v>
      </c>
      <c r="M129" t="s">
        <v>308</v>
      </c>
      <c r="N129">
        <v>4</v>
      </c>
      <c r="Q129">
        <v>1</v>
      </c>
      <c r="R129" s="4">
        <v>18</v>
      </c>
      <c r="S129">
        <v>72</v>
      </c>
      <c r="T129" s="4">
        <v>0</v>
      </c>
      <c r="U129">
        <f t="shared" si="2"/>
        <v>0.8</v>
      </c>
      <c r="X129" t="s">
        <v>247</v>
      </c>
    </row>
    <row r="130" spans="1:24" x14ac:dyDescent="0.2">
      <c r="A130">
        <v>129</v>
      </c>
      <c r="D130" t="s">
        <v>306</v>
      </c>
      <c r="E130" t="s">
        <v>307</v>
      </c>
      <c r="G130" t="s">
        <v>375</v>
      </c>
      <c r="H130" t="s">
        <v>357</v>
      </c>
      <c r="I130" t="s">
        <v>405</v>
      </c>
      <c r="J130" t="s">
        <v>429</v>
      </c>
      <c r="K130" t="s">
        <v>362</v>
      </c>
      <c r="L130" t="s">
        <v>308</v>
      </c>
      <c r="M130" t="s">
        <v>308</v>
      </c>
      <c r="N130">
        <v>4</v>
      </c>
      <c r="Q130">
        <v>1</v>
      </c>
      <c r="R130" s="4">
        <v>6</v>
      </c>
      <c r="S130">
        <v>84</v>
      </c>
      <c r="T130" s="4">
        <v>0</v>
      </c>
      <c r="U130">
        <f t="shared" si="2"/>
        <v>0.49888765156985881</v>
      </c>
      <c r="X130" t="s">
        <v>247</v>
      </c>
    </row>
    <row r="131" spans="1:24" x14ac:dyDescent="0.2">
      <c r="A131">
        <v>130</v>
      </c>
      <c r="D131" t="s">
        <v>306</v>
      </c>
      <c r="E131" t="s">
        <v>307</v>
      </c>
      <c r="G131" t="s">
        <v>375</v>
      </c>
      <c r="H131" t="s">
        <v>357</v>
      </c>
      <c r="I131" t="s">
        <v>404</v>
      </c>
      <c r="J131" t="s">
        <v>429</v>
      </c>
      <c r="K131" t="s">
        <v>362</v>
      </c>
      <c r="L131" t="s">
        <v>308</v>
      </c>
      <c r="M131" t="s">
        <v>308</v>
      </c>
      <c r="N131">
        <v>4</v>
      </c>
      <c r="Q131">
        <v>1</v>
      </c>
      <c r="R131" s="4">
        <v>5</v>
      </c>
      <c r="S131">
        <v>85</v>
      </c>
      <c r="T131" s="4">
        <v>0</v>
      </c>
      <c r="U131">
        <f>SQRT(((R131+S131) / (R131+S131+T131)) - ((R131-S131) / (R131+S131+T131))^2)</f>
        <v>0.45812284729085123</v>
      </c>
      <c r="X131" t="s">
        <v>247</v>
      </c>
    </row>
  </sheetData>
  <autoFilter ref="A1:Y131" xr:uid="{00000000-0001-0000-0000-000000000000}">
    <filterColumn colId="9">
      <filters>
        <filter val="Y"/>
      </filters>
    </filterColumn>
  </autoFilter>
  <conditionalFormatting sqref="E1:F1048576">
    <cfRule type="duplicateValues" dxfId="1" priority="5"/>
  </conditionalFormatting>
  <conditionalFormatting sqref="L1:L1048576">
    <cfRule type="duplicateValues" dxfId="0" priority="4"/>
  </conditionalFormatting>
  <hyperlinks>
    <hyperlink ref="L107" r:id="rId1" xr:uid="{6B3E65CC-C4A4-BE45-9FCE-832E8319C4B8}"/>
    <hyperlink ref="L109" r:id="rId2" display="https://discuss.python.org/t/pep-772-packaging-governance-process/79724" xr:uid="{0795484F-2B02-6D43-9070-6F99EF8C66F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0AE12-6DF4-5741-B6CD-BDA6426C8A4C}">
  <dimension ref="A2:A8"/>
  <sheetViews>
    <sheetView workbookViewId="0">
      <selection activeCell="A7" sqref="A7"/>
    </sheetView>
  </sheetViews>
  <sheetFormatPr baseColWidth="10" defaultRowHeight="15" x14ac:dyDescent="0.2"/>
  <cols>
    <col min="1" max="1" width="163.83203125" style="3" customWidth="1"/>
  </cols>
  <sheetData>
    <row r="2" spans="1:1" ht="80" x14ac:dyDescent="0.2">
      <c r="A2" s="3" t="s">
        <v>376</v>
      </c>
    </row>
    <row r="3" spans="1:1" ht="32" x14ac:dyDescent="0.2">
      <c r="A3" s="3" t="s">
        <v>377</v>
      </c>
    </row>
    <row r="4" spans="1:1" ht="64" x14ac:dyDescent="0.2">
      <c r="A4" s="3" t="s">
        <v>378</v>
      </c>
    </row>
    <row r="5" spans="1:1" ht="32" x14ac:dyDescent="0.2">
      <c r="A5" s="3" t="s">
        <v>379</v>
      </c>
    </row>
    <row r="6" spans="1:1" ht="48" x14ac:dyDescent="0.2">
      <c r="A6" s="3" t="s">
        <v>419</v>
      </c>
    </row>
    <row r="7" spans="1:1" ht="32" x14ac:dyDescent="0.2">
      <c r="A7" s="3" t="s">
        <v>383</v>
      </c>
    </row>
    <row r="8" spans="1:1" ht="16" x14ac:dyDescent="0.2">
      <c r="A8" s="3" t="s">
        <v>418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914D-7FD9-2F42-97C2-FF38065B4E6C}">
  <dimension ref="A1:I51"/>
  <sheetViews>
    <sheetView topLeftCell="A3" workbookViewId="0">
      <selection activeCell="F27" sqref="F27"/>
    </sheetView>
  </sheetViews>
  <sheetFormatPr baseColWidth="10" defaultRowHeight="15" x14ac:dyDescent="0.2"/>
  <cols>
    <col min="1" max="1" width="9.1640625" bestFit="1" customWidth="1"/>
    <col min="4" max="5" width="24" bestFit="1" customWidth="1"/>
    <col min="6" max="6" width="15.1640625" bestFit="1" customWidth="1"/>
    <col min="7" max="7" width="17.6640625" bestFit="1" customWidth="1"/>
    <col min="9" max="9" width="11.6640625" bestFit="1" customWidth="1"/>
  </cols>
  <sheetData>
    <row r="1" spans="1:9" x14ac:dyDescent="0.2">
      <c r="A1" t="s">
        <v>330</v>
      </c>
      <c r="B1" t="s">
        <v>322</v>
      </c>
      <c r="C1" t="s">
        <v>323</v>
      </c>
      <c r="D1" t="s">
        <v>324</v>
      </c>
      <c r="E1" t="s">
        <v>325</v>
      </c>
      <c r="F1" t="s">
        <v>326</v>
      </c>
      <c r="G1" t="s">
        <v>327</v>
      </c>
      <c r="H1" t="s">
        <v>328</v>
      </c>
      <c r="I1" t="s">
        <v>321</v>
      </c>
    </row>
    <row r="2" spans="1:9" x14ac:dyDescent="0.2">
      <c r="A2" t="s">
        <v>321</v>
      </c>
      <c r="B2">
        <v>4</v>
      </c>
      <c r="C2">
        <v>14</v>
      </c>
      <c r="D2">
        <v>10</v>
      </c>
      <c r="E2">
        <v>13</v>
      </c>
      <c r="F2">
        <v>23</v>
      </c>
      <c r="G2">
        <v>18</v>
      </c>
      <c r="H2">
        <v>29</v>
      </c>
      <c r="I2" t="s">
        <v>329</v>
      </c>
    </row>
    <row r="3" spans="1:9" x14ac:dyDescent="0.2">
      <c r="A3" t="s">
        <v>327</v>
      </c>
      <c r="B3">
        <v>15</v>
      </c>
      <c r="C3">
        <v>20</v>
      </c>
      <c r="D3">
        <v>14</v>
      </c>
      <c r="E3">
        <v>22</v>
      </c>
      <c r="F3">
        <v>28</v>
      </c>
      <c r="G3" t="s">
        <v>329</v>
      </c>
      <c r="H3">
        <v>38</v>
      </c>
      <c r="I3">
        <v>43</v>
      </c>
    </row>
    <row r="4" spans="1:9" x14ac:dyDescent="0.2">
      <c r="A4" t="s">
        <v>324</v>
      </c>
      <c r="B4">
        <v>20</v>
      </c>
      <c r="C4">
        <v>28</v>
      </c>
      <c r="D4" t="s">
        <v>329</v>
      </c>
      <c r="E4">
        <v>33</v>
      </c>
      <c r="F4">
        <v>42</v>
      </c>
      <c r="G4">
        <v>42</v>
      </c>
      <c r="H4">
        <v>52</v>
      </c>
      <c r="I4">
        <v>51</v>
      </c>
    </row>
    <row r="5" spans="1:9" x14ac:dyDescent="0.2">
      <c r="A5" t="s">
        <v>323</v>
      </c>
      <c r="B5">
        <v>22</v>
      </c>
      <c r="C5" t="s">
        <v>329</v>
      </c>
      <c r="D5">
        <v>34</v>
      </c>
      <c r="E5">
        <v>33</v>
      </c>
      <c r="F5">
        <v>40</v>
      </c>
      <c r="G5">
        <v>40</v>
      </c>
      <c r="H5">
        <v>48</v>
      </c>
      <c r="I5">
        <v>48</v>
      </c>
    </row>
    <row r="6" spans="1:9" x14ac:dyDescent="0.2">
      <c r="A6" t="s">
        <v>328</v>
      </c>
      <c r="B6">
        <v>6</v>
      </c>
      <c r="C6">
        <v>9</v>
      </c>
      <c r="D6">
        <v>9</v>
      </c>
      <c r="E6">
        <v>12</v>
      </c>
      <c r="F6">
        <v>14</v>
      </c>
      <c r="G6">
        <v>17</v>
      </c>
      <c r="H6" t="s">
        <v>329</v>
      </c>
      <c r="I6">
        <v>32</v>
      </c>
    </row>
    <row r="7" spans="1:9" x14ac:dyDescent="0.2">
      <c r="A7" t="s">
        <v>326</v>
      </c>
      <c r="B7">
        <v>9</v>
      </c>
      <c r="C7">
        <v>18</v>
      </c>
      <c r="D7">
        <v>16</v>
      </c>
      <c r="E7">
        <v>18</v>
      </c>
      <c r="F7" t="s">
        <v>329</v>
      </c>
      <c r="G7">
        <v>30</v>
      </c>
      <c r="H7">
        <v>40</v>
      </c>
      <c r="I7">
        <v>38</v>
      </c>
    </row>
    <row r="8" spans="1:9" x14ac:dyDescent="0.2">
      <c r="A8" t="s">
        <v>325</v>
      </c>
      <c r="B8">
        <v>18</v>
      </c>
      <c r="C8">
        <v>22</v>
      </c>
      <c r="D8">
        <v>24</v>
      </c>
      <c r="E8" t="s">
        <v>329</v>
      </c>
      <c r="F8">
        <v>38</v>
      </c>
      <c r="G8">
        <v>36</v>
      </c>
      <c r="H8">
        <v>47</v>
      </c>
      <c r="I8">
        <v>48</v>
      </c>
    </row>
    <row r="9" spans="1:9" x14ac:dyDescent="0.2">
      <c r="A9" t="s">
        <v>322</v>
      </c>
      <c r="B9" t="s">
        <v>329</v>
      </c>
      <c r="C9">
        <v>40</v>
      </c>
      <c r="D9">
        <v>37</v>
      </c>
      <c r="E9">
        <v>41</v>
      </c>
      <c r="F9">
        <v>50</v>
      </c>
      <c r="G9">
        <v>44</v>
      </c>
      <c r="H9">
        <v>55</v>
      </c>
      <c r="I9">
        <v>57</v>
      </c>
    </row>
    <row r="11" spans="1:9" x14ac:dyDescent="0.2">
      <c r="A11" s="4" t="s">
        <v>3</v>
      </c>
      <c r="B11" s="4" t="s">
        <v>7</v>
      </c>
      <c r="C11" s="4" t="s">
        <v>8</v>
      </c>
      <c r="D11" s="4" t="s">
        <v>331</v>
      </c>
      <c r="E11" s="4" t="s">
        <v>335</v>
      </c>
      <c r="F11" s="4" t="s">
        <v>332</v>
      </c>
      <c r="G11" s="4" t="s">
        <v>333</v>
      </c>
    </row>
    <row r="12" spans="1:9" x14ac:dyDescent="0.2">
      <c r="A12" s="4" t="s">
        <v>327</v>
      </c>
      <c r="B12" s="4">
        <v>43</v>
      </c>
      <c r="C12" s="4">
        <v>18</v>
      </c>
      <c r="D12" s="4">
        <v>33</v>
      </c>
      <c r="E12" s="4">
        <v>61</v>
      </c>
      <c r="F12" s="5">
        <v>0.70499999999999996</v>
      </c>
      <c r="G12" s="4" t="s">
        <v>334</v>
      </c>
    </row>
    <row r="13" spans="1:9" x14ac:dyDescent="0.2">
      <c r="A13" s="4" t="s">
        <v>324</v>
      </c>
      <c r="B13" s="4">
        <v>51</v>
      </c>
      <c r="C13" s="4">
        <v>10</v>
      </c>
      <c r="D13" s="4">
        <v>33</v>
      </c>
      <c r="E13" s="4">
        <v>61</v>
      </c>
      <c r="F13" s="5">
        <v>0.83599999999999997</v>
      </c>
      <c r="G13" s="4" t="s">
        <v>334</v>
      </c>
    </row>
    <row r="14" spans="1:9" x14ac:dyDescent="0.2">
      <c r="A14" s="4" t="s">
        <v>323</v>
      </c>
      <c r="B14" s="4">
        <v>48</v>
      </c>
      <c r="C14" s="4">
        <v>14</v>
      </c>
      <c r="D14" s="4">
        <v>32</v>
      </c>
      <c r="E14" s="4">
        <v>62</v>
      </c>
      <c r="F14" s="5">
        <v>0.77400000000000002</v>
      </c>
      <c r="G14" s="4" t="s">
        <v>334</v>
      </c>
    </row>
    <row r="15" spans="1:9" x14ac:dyDescent="0.2">
      <c r="A15" s="4" t="s">
        <v>328</v>
      </c>
      <c r="B15" s="4">
        <v>32</v>
      </c>
      <c r="C15" s="4">
        <v>29</v>
      </c>
      <c r="D15" s="4">
        <v>33</v>
      </c>
      <c r="E15" s="4">
        <v>61</v>
      </c>
      <c r="F15" s="5">
        <v>0.52500000000000002</v>
      </c>
      <c r="G15" s="4" t="s">
        <v>334</v>
      </c>
    </row>
    <row r="16" spans="1:9" x14ac:dyDescent="0.2">
      <c r="A16" s="4" t="s">
        <v>326</v>
      </c>
      <c r="B16" s="4">
        <v>38</v>
      </c>
      <c r="C16" s="4">
        <v>23</v>
      </c>
      <c r="D16" s="4">
        <v>33</v>
      </c>
      <c r="E16" s="4">
        <v>61</v>
      </c>
      <c r="F16" s="5">
        <v>0.623</v>
      </c>
      <c r="G16" s="4" t="s">
        <v>334</v>
      </c>
    </row>
    <row r="17" spans="1:7" x14ac:dyDescent="0.2">
      <c r="A17" s="4" t="s">
        <v>325</v>
      </c>
      <c r="B17" s="4">
        <v>48</v>
      </c>
      <c r="C17" s="4">
        <v>13</v>
      </c>
      <c r="D17" s="4">
        <v>33</v>
      </c>
      <c r="E17" s="4">
        <v>61</v>
      </c>
      <c r="F17" s="5">
        <v>0.78700000000000003</v>
      </c>
      <c r="G17" s="4" t="s">
        <v>334</v>
      </c>
    </row>
    <row r="18" spans="1:7" x14ac:dyDescent="0.2">
      <c r="A18" s="4" t="s">
        <v>322</v>
      </c>
      <c r="B18" s="4">
        <v>57</v>
      </c>
      <c r="C18" s="4">
        <v>4</v>
      </c>
      <c r="D18" s="4">
        <v>33</v>
      </c>
      <c r="E18" s="4">
        <v>61</v>
      </c>
      <c r="F18" s="5">
        <v>0.93400000000000005</v>
      </c>
      <c r="G18" s="4" t="s">
        <v>334</v>
      </c>
    </row>
    <row r="20" spans="1:7" x14ac:dyDescent="0.2">
      <c r="A20" s="4" t="s">
        <v>3</v>
      </c>
      <c r="B20" s="4" t="s">
        <v>7</v>
      </c>
      <c r="C20" s="4" t="s">
        <v>8</v>
      </c>
      <c r="D20" s="4" t="s">
        <v>331</v>
      </c>
      <c r="E20" s="4" t="s">
        <v>335</v>
      </c>
      <c r="F20" s="4" t="s">
        <v>332</v>
      </c>
      <c r="G20" s="4" t="s">
        <v>333</v>
      </c>
    </row>
    <row r="21" spans="1:7" x14ac:dyDescent="0.2">
      <c r="A21" s="4" t="s">
        <v>327</v>
      </c>
      <c r="B21" s="4">
        <v>38</v>
      </c>
      <c r="C21" s="4">
        <v>17</v>
      </c>
      <c r="D21" s="4">
        <v>39</v>
      </c>
      <c r="E21" s="4">
        <v>55</v>
      </c>
      <c r="F21" s="5">
        <v>0.69099999999999995</v>
      </c>
      <c r="G21" s="4" t="s">
        <v>334</v>
      </c>
    </row>
    <row r="22" spans="1:7" x14ac:dyDescent="0.2">
      <c r="A22" s="4" t="s">
        <v>324</v>
      </c>
      <c r="B22" s="4">
        <v>52</v>
      </c>
      <c r="C22" s="4">
        <v>9</v>
      </c>
      <c r="D22" s="4">
        <v>33</v>
      </c>
      <c r="E22" s="4">
        <v>61</v>
      </c>
      <c r="F22" s="5">
        <v>0.85199999999999998</v>
      </c>
      <c r="G22" s="4" t="s">
        <v>334</v>
      </c>
    </row>
    <row r="23" spans="1:7" x14ac:dyDescent="0.2">
      <c r="A23" s="4" t="s">
        <v>323</v>
      </c>
      <c r="B23" s="4">
        <v>48</v>
      </c>
      <c r="C23" s="4">
        <v>9</v>
      </c>
      <c r="D23" s="4">
        <v>37</v>
      </c>
      <c r="E23" s="4">
        <v>57</v>
      </c>
      <c r="F23" s="5">
        <v>0.84199999999999997</v>
      </c>
      <c r="G23" s="4" t="s">
        <v>334</v>
      </c>
    </row>
    <row r="24" spans="1:7" x14ac:dyDescent="0.2">
      <c r="A24" s="4" t="s">
        <v>326</v>
      </c>
      <c r="B24" s="4">
        <v>40</v>
      </c>
      <c r="C24" s="4">
        <v>14</v>
      </c>
      <c r="D24" s="4">
        <v>40</v>
      </c>
      <c r="E24" s="4">
        <v>54</v>
      </c>
      <c r="F24" s="5">
        <v>0.74099999999999999</v>
      </c>
      <c r="G24" s="4" t="s">
        <v>334</v>
      </c>
    </row>
    <row r="25" spans="1:7" x14ac:dyDescent="0.2">
      <c r="A25" s="4" t="s">
        <v>325</v>
      </c>
      <c r="B25" s="4">
        <v>47</v>
      </c>
      <c r="C25" s="4">
        <v>12</v>
      </c>
      <c r="D25" s="4">
        <v>35</v>
      </c>
      <c r="E25" s="4">
        <v>59</v>
      </c>
      <c r="F25" s="5">
        <v>0.79700000000000004</v>
      </c>
      <c r="G25" s="4" t="s">
        <v>334</v>
      </c>
    </row>
    <row r="26" spans="1:7" x14ac:dyDescent="0.2">
      <c r="A26" s="4" t="s">
        <v>322</v>
      </c>
      <c r="B26" s="4">
        <v>55</v>
      </c>
      <c r="C26" s="4">
        <v>6</v>
      </c>
      <c r="D26" s="4">
        <v>33</v>
      </c>
      <c r="E26" s="4">
        <v>61</v>
      </c>
      <c r="F26" s="5">
        <v>0.90200000000000002</v>
      </c>
      <c r="G26" s="4" t="s">
        <v>334</v>
      </c>
    </row>
    <row r="28" spans="1:7" x14ac:dyDescent="0.2">
      <c r="A28" s="4" t="s">
        <v>3</v>
      </c>
      <c r="B28" s="4" t="s">
        <v>7</v>
      </c>
      <c r="C28" s="4" t="s">
        <v>8</v>
      </c>
      <c r="D28" s="4" t="s">
        <v>331</v>
      </c>
      <c r="E28" s="4" t="s">
        <v>335</v>
      </c>
      <c r="F28" s="4" t="s">
        <v>332</v>
      </c>
      <c r="G28" s="4" t="s">
        <v>333</v>
      </c>
    </row>
    <row r="29" spans="1:7" x14ac:dyDescent="0.2">
      <c r="A29" s="4" t="s">
        <v>324</v>
      </c>
      <c r="B29" s="4">
        <v>42</v>
      </c>
      <c r="C29" s="4">
        <v>14</v>
      </c>
      <c r="D29" s="4">
        <v>38</v>
      </c>
      <c r="E29" s="4">
        <v>56</v>
      </c>
      <c r="F29" s="5">
        <v>0.75</v>
      </c>
      <c r="G29" s="4" t="s">
        <v>334</v>
      </c>
    </row>
    <row r="30" spans="1:7" x14ac:dyDescent="0.2">
      <c r="A30" s="4" t="s">
        <v>323</v>
      </c>
      <c r="B30" s="4">
        <v>40</v>
      </c>
      <c r="C30" s="4">
        <v>20</v>
      </c>
      <c r="D30" s="4">
        <v>34</v>
      </c>
      <c r="E30" s="4">
        <v>60</v>
      </c>
      <c r="F30" s="5">
        <v>0.66700000000000004</v>
      </c>
      <c r="G30" s="4" t="s">
        <v>334</v>
      </c>
    </row>
    <row r="31" spans="1:7" x14ac:dyDescent="0.2">
      <c r="A31" s="4" t="s">
        <v>326</v>
      </c>
      <c r="B31" s="4">
        <v>30</v>
      </c>
      <c r="C31" s="4">
        <v>28</v>
      </c>
      <c r="D31" s="4">
        <v>36</v>
      </c>
      <c r="E31" s="4">
        <v>58</v>
      </c>
      <c r="F31" s="5">
        <v>0.51700000000000002</v>
      </c>
      <c r="G31" s="4" t="s">
        <v>334</v>
      </c>
    </row>
    <row r="32" spans="1:7" x14ac:dyDescent="0.2">
      <c r="A32" s="4" t="s">
        <v>325</v>
      </c>
      <c r="B32" s="4">
        <v>36</v>
      </c>
      <c r="C32" s="4">
        <v>22</v>
      </c>
      <c r="D32" s="4">
        <v>36</v>
      </c>
      <c r="E32" s="4">
        <v>58</v>
      </c>
      <c r="F32" s="5">
        <v>0.621</v>
      </c>
      <c r="G32" s="4" t="s">
        <v>334</v>
      </c>
    </row>
    <row r="33" spans="1:7" x14ac:dyDescent="0.2">
      <c r="A33" s="4" t="s">
        <v>322</v>
      </c>
      <c r="B33" s="4">
        <v>44</v>
      </c>
      <c r="C33" s="4">
        <v>15</v>
      </c>
      <c r="D33" s="4">
        <v>35</v>
      </c>
      <c r="E33" s="4">
        <v>59</v>
      </c>
      <c r="F33" s="5">
        <v>0.746</v>
      </c>
      <c r="G33" s="4" t="s">
        <v>334</v>
      </c>
    </row>
    <row r="35" spans="1:7" x14ac:dyDescent="0.2">
      <c r="A35" s="4" t="s">
        <v>3</v>
      </c>
      <c r="B35" s="4" t="s">
        <v>7</v>
      </c>
      <c r="C35" s="4" t="s">
        <v>8</v>
      </c>
      <c r="D35" s="4" t="s">
        <v>331</v>
      </c>
      <c r="E35" s="4" t="s">
        <v>335</v>
      </c>
      <c r="F35" s="4" t="s">
        <v>332</v>
      </c>
      <c r="G35" s="4" t="s">
        <v>333</v>
      </c>
    </row>
    <row r="36" spans="1:7" x14ac:dyDescent="0.2">
      <c r="A36" s="4" t="s">
        <v>324</v>
      </c>
      <c r="B36" s="4">
        <v>42</v>
      </c>
      <c r="C36" s="4">
        <v>16</v>
      </c>
      <c r="D36" s="4">
        <v>36</v>
      </c>
      <c r="E36" s="4">
        <v>58</v>
      </c>
      <c r="F36" s="5">
        <v>0.72399999999999998</v>
      </c>
      <c r="G36" s="4" t="s">
        <v>334</v>
      </c>
    </row>
    <row r="37" spans="1:7" x14ac:dyDescent="0.2">
      <c r="A37" s="4" t="s">
        <v>323</v>
      </c>
      <c r="B37" s="4">
        <v>40</v>
      </c>
      <c r="C37" s="4">
        <v>18</v>
      </c>
      <c r="D37" s="4">
        <v>36</v>
      </c>
      <c r="E37" s="4">
        <v>58</v>
      </c>
      <c r="F37" s="5">
        <v>0.69</v>
      </c>
      <c r="G37" s="4" t="s">
        <v>334</v>
      </c>
    </row>
    <row r="38" spans="1:7" x14ac:dyDescent="0.2">
      <c r="A38" s="4" t="s">
        <v>325</v>
      </c>
      <c r="B38" s="4">
        <v>38</v>
      </c>
      <c r="C38" s="4">
        <v>18</v>
      </c>
      <c r="D38" s="4">
        <v>38</v>
      </c>
      <c r="E38" s="4">
        <v>56</v>
      </c>
      <c r="F38" s="5">
        <v>0.67900000000000005</v>
      </c>
      <c r="G38" s="4" t="s">
        <v>334</v>
      </c>
    </row>
    <row r="39" spans="1:7" x14ac:dyDescent="0.2">
      <c r="A39" s="4" t="s">
        <v>322</v>
      </c>
      <c r="B39" s="4">
        <v>50</v>
      </c>
      <c r="C39" s="4">
        <v>9</v>
      </c>
      <c r="D39" s="4">
        <v>35</v>
      </c>
      <c r="E39" s="4">
        <v>59</v>
      </c>
      <c r="F39" s="5">
        <v>0.84699999999999998</v>
      </c>
      <c r="G39" s="4" t="s">
        <v>334</v>
      </c>
    </row>
    <row r="41" spans="1:7" x14ac:dyDescent="0.2">
      <c r="A41" s="4" t="s">
        <v>3</v>
      </c>
      <c r="B41" s="4" t="s">
        <v>7</v>
      </c>
      <c r="C41" s="4" t="s">
        <v>8</v>
      </c>
      <c r="D41" s="4" t="s">
        <v>331</v>
      </c>
      <c r="E41" s="4" t="s">
        <v>335</v>
      </c>
      <c r="F41" s="4" t="s">
        <v>332</v>
      </c>
      <c r="G41" s="4" t="s">
        <v>333</v>
      </c>
    </row>
    <row r="42" spans="1:7" x14ac:dyDescent="0.2">
      <c r="A42" s="4" t="s">
        <v>324</v>
      </c>
      <c r="B42" s="4">
        <v>33</v>
      </c>
      <c r="C42" s="4">
        <v>24</v>
      </c>
      <c r="D42" s="4">
        <v>37</v>
      </c>
      <c r="E42" s="4">
        <v>57</v>
      </c>
      <c r="F42" s="5">
        <v>0.57899999999999996</v>
      </c>
      <c r="G42" s="4" t="s">
        <v>334</v>
      </c>
    </row>
    <row r="43" spans="1:7" x14ac:dyDescent="0.2">
      <c r="A43" s="4" t="s">
        <v>323</v>
      </c>
      <c r="B43" s="4">
        <v>33</v>
      </c>
      <c r="C43" s="4">
        <v>22</v>
      </c>
      <c r="D43" s="4">
        <v>39</v>
      </c>
      <c r="E43" s="4">
        <v>55</v>
      </c>
      <c r="F43" s="5">
        <v>0.6</v>
      </c>
      <c r="G43" s="4" t="s">
        <v>334</v>
      </c>
    </row>
    <row r="44" spans="1:7" x14ac:dyDescent="0.2">
      <c r="A44" s="4" t="s">
        <v>322</v>
      </c>
      <c r="B44" s="4">
        <v>41</v>
      </c>
      <c r="C44" s="4">
        <v>18</v>
      </c>
      <c r="D44" s="4">
        <v>35</v>
      </c>
      <c r="E44" s="4">
        <v>59</v>
      </c>
      <c r="F44" s="5">
        <v>0.69499999999999995</v>
      </c>
      <c r="G44" s="4" t="s">
        <v>334</v>
      </c>
    </row>
    <row r="46" spans="1:7" x14ac:dyDescent="0.2">
      <c r="A46" s="4" t="s">
        <v>3</v>
      </c>
      <c r="B46" s="4" t="s">
        <v>7</v>
      </c>
      <c r="C46" s="4" t="s">
        <v>8</v>
      </c>
      <c r="D46" s="4" t="s">
        <v>331</v>
      </c>
      <c r="E46" s="4" t="s">
        <v>335</v>
      </c>
      <c r="F46" s="4" t="s">
        <v>332</v>
      </c>
      <c r="G46" s="4" t="s">
        <v>333</v>
      </c>
    </row>
    <row r="47" spans="1:7" x14ac:dyDescent="0.2">
      <c r="A47" s="4" t="s">
        <v>323</v>
      </c>
      <c r="B47" s="4">
        <v>34</v>
      </c>
      <c r="C47" s="4">
        <v>28</v>
      </c>
      <c r="D47" s="4">
        <v>32</v>
      </c>
      <c r="E47" s="4">
        <v>62</v>
      </c>
      <c r="F47" s="5">
        <v>0.54800000000000004</v>
      </c>
      <c r="G47" s="4" t="s">
        <v>334</v>
      </c>
    </row>
    <row r="48" spans="1:7" x14ac:dyDescent="0.2">
      <c r="A48" s="4" t="s">
        <v>322</v>
      </c>
      <c r="B48" s="4">
        <v>37</v>
      </c>
      <c r="C48" s="4">
        <v>20</v>
      </c>
      <c r="D48" s="4">
        <v>37</v>
      </c>
      <c r="E48" s="4">
        <v>57</v>
      </c>
      <c r="F48" s="5">
        <v>0.64900000000000002</v>
      </c>
      <c r="G48" s="4" t="s">
        <v>334</v>
      </c>
    </row>
    <row r="50" spans="1:7" x14ac:dyDescent="0.2">
      <c r="A50" s="4" t="s">
        <v>3</v>
      </c>
      <c r="B50" s="4" t="s">
        <v>7</v>
      </c>
      <c r="C50" s="4" t="s">
        <v>8</v>
      </c>
      <c r="D50" s="4" t="s">
        <v>331</v>
      </c>
      <c r="E50" s="4" t="s">
        <v>335</v>
      </c>
      <c r="F50" s="4" t="s">
        <v>332</v>
      </c>
      <c r="G50" s="4" t="s">
        <v>333</v>
      </c>
    </row>
    <row r="51" spans="1:7" x14ac:dyDescent="0.2">
      <c r="A51" s="4" t="s">
        <v>322</v>
      </c>
      <c r="B51" s="4">
        <v>40</v>
      </c>
      <c r="C51" s="4">
        <v>22</v>
      </c>
      <c r="D51" s="4">
        <v>32</v>
      </c>
      <c r="E51" s="4">
        <v>62</v>
      </c>
      <c r="F51" s="5">
        <v>0.64500000000000002</v>
      </c>
      <c r="G51" s="4" t="s">
        <v>336</v>
      </c>
    </row>
  </sheetData>
  <autoFilter ref="A1:I9" xr:uid="{F014914D-7FD9-2F42-97C2-FF38065B4E6C}">
    <sortState xmlns:xlrd2="http://schemas.microsoft.com/office/spreadsheetml/2017/richdata2" ref="A2:I9">
      <sortCondition ref="A1:A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00D7-68C1-D442-80E7-F06108419B71}">
  <dimension ref="A1:E28"/>
  <sheetViews>
    <sheetView workbookViewId="0">
      <selection activeCell="C1" sqref="C1:C7"/>
    </sheetView>
  </sheetViews>
  <sheetFormatPr baseColWidth="10" defaultRowHeight="15" x14ac:dyDescent="0.2"/>
  <cols>
    <col min="5" max="5" width="24" bestFit="1" customWidth="1"/>
  </cols>
  <sheetData>
    <row r="1" spans="1:5" x14ac:dyDescent="0.2">
      <c r="A1" t="s">
        <v>337</v>
      </c>
      <c r="B1" s="4" t="s">
        <v>327</v>
      </c>
      <c r="C1" s="4">
        <v>43</v>
      </c>
      <c r="D1" s="4">
        <v>18</v>
      </c>
      <c r="E1" s="4">
        <v>33</v>
      </c>
    </row>
    <row r="2" spans="1:5" x14ac:dyDescent="0.2">
      <c r="A2" t="s">
        <v>337</v>
      </c>
      <c r="B2" s="4" t="s">
        <v>324</v>
      </c>
      <c r="C2" s="4">
        <v>51</v>
      </c>
      <c r="D2" s="4">
        <v>10</v>
      </c>
      <c r="E2" s="4">
        <v>33</v>
      </c>
    </row>
    <row r="3" spans="1:5" x14ac:dyDescent="0.2">
      <c r="A3" t="s">
        <v>337</v>
      </c>
      <c r="B3" s="4" t="s">
        <v>323</v>
      </c>
      <c r="C3" s="4">
        <v>48</v>
      </c>
      <c r="D3" s="4">
        <v>14</v>
      </c>
      <c r="E3" s="4">
        <v>32</v>
      </c>
    </row>
    <row r="4" spans="1:5" x14ac:dyDescent="0.2">
      <c r="A4" t="s">
        <v>337</v>
      </c>
      <c r="B4" s="4" t="s">
        <v>328</v>
      </c>
      <c r="C4" s="4">
        <v>32</v>
      </c>
      <c r="D4" s="4">
        <v>29</v>
      </c>
      <c r="E4" s="4">
        <v>33</v>
      </c>
    </row>
    <row r="5" spans="1:5" x14ac:dyDescent="0.2">
      <c r="A5" t="s">
        <v>337</v>
      </c>
      <c r="B5" s="4" t="s">
        <v>326</v>
      </c>
      <c r="C5" s="4">
        <v>38</v>
      </c>
      <c r="D5" s="4">
        <v>23</v>
      </c>
      <c r="E5" s="4">
        <v>33</v>
      </c>
    </row>
    <row r="6" spans="1:5" x14ac:dyDescent="0.2">
      <c r="A6" t="s">
        <v>337</v>
      </c>
      <c r="B6" s="4" t="s">
        <v>325</v>
      </c>
      <c r="C6" s="4">
        <v>48</v>
      </c>
      <c r="D6" s="4">
        <v>13</v>
      </c>
      <c r="E6" s="4">
        <v>33</v>
      </c>
    </row>
    <row r="7" spans="1:5" x14ac:dyDescent="0.2">
      <c r="A7" t="s">
        <v>337</v>
      </c>
      <c r="B7" s="4" t="s">
        <v>322</v>
      </c>
      <c r="C7" s="4">
        <v>57</v>
      </c>
      <c r="D7" s="4">
        <v>4</v>
      </c>
      <c r="E7" s="4">
        <v>33</v>
      </c>
    </row>
    <row r="8" spans="1:5" x14ac:dyDescent="0.2">
      <c r="A8" t="s">
        <v>338</v>
      </c>
      <c r="B8" s="4" t="s">
        <v>327</v>
      </c>
      <c r="C8" s="4">
        <v>38</v>
      </c>
      <c r="D8" s="4">
        <v>17</v>
      </c>
      <c r="E8" s="4">
        <v>39</v>
      </c>
    </row>
    <row r="9" spans="1:5" x14ac:dyDescent="0.2">
      <c r="A9" t="s">
        <v>338</v>
      </c>
      <c r="B9" s="4" t="s">
        <v>324</v>
      </c>
      <c r="C9" s="4">
        <v>52</v>
      </c>
      <c r="D9" s="4">
        <v>9</v>
      </c>
      <c r="E9" s="4">
        <v>33</v>
      </c>
    </row>
    <row r="10" spans="1:5" x14ac:dyDescent="0.2">
      <c r="A10" t="s">
        <v>338</v>
      </c>
      <c r="B10" s="4" t="s">
        <v>323</v>
      </c>
      <c r="C10" s="4">
        <v>48</v>
      </c>
      <c r="D10" s="4">
        <v>9</v>
      </c>
      <c r="E10" s="4">
        <v>37</v>
      </c>
    </row>
    <row r="11" spans="1:5" x14ac:dyDescent="0.2">
      <c r="A11" t="s">
        <v>338</v>
      </c>
      <c r="B11" s="4" t="s">
        <v>326</v>
      </c>
      <c r="C11" s="4">
        <v>40</v>
      </c>
      <c r="D11" s="4">
        <v>14</v>
      </c>
      <c r="E11" s="4">
        <v>40</v>
      </c>
    </row>
    <row r="12" spans="1:5" x14ac:dyDescent="0.2">
      <c r="A12" t="s">
        <v>338</v>
      </c>
      <c r="B12" s="4" t="s">
        <v>325</v>
      </c>
      <c r="C12" s="4">
        <v>47</v>
      </c>
      <c r="D12" s="4">
        <v>12</v>
      </c>
      <c r="E12" s="4">
        <v>35</v>
      </c>
    </row>
    <row r="13" spans="1:5" x14ac:dyDescent="0.2">
      <c r="A13" t="s">
        <v>338</v>
      </c>
      <c r="B13" s="4" t="s">
        <v>322</v>
      </c>
      <c r="C13" s="4">
        <v>55</v>
      </c>
      <c r="D13" s="4">
        <v>6</v>
      </c>
      <c r="E13" s="4">
        <v>33</v>
      </c>
    </row>
    <row r="14" spans="1:5" x14ac:dyDescent="0.2">
      <c r="A14" t="s">
        <v>339</v>
      </c>
      <c r="B14" s="4" t="s">
        <v>324</v>
      </c>
      <c r="C14" s="4">
        <v>42</v>
      </c>
      <c r="D14" s="4">
        <v>14</v>
      </c>
      <c r="E14" s="4">
        <v>38</v>
      </c>
    </row>
    <row r="15" spans="1:5" x14ac:dyDescent="0.2">
      <c r="A15" t="s">
        <v>339</v>
      </c>
      <c r="B15" s="4" t="s">
        <v>323</v>
      </c>
      <c r="C15" s="4">
        <v>40</v>
      </c>
      <c r="D15" s="4">
        <v>20</v>
      </c>
      <c r="E15" s="4">
        <v>34</v>
      </c>
    </row>
    <row r="16" spans="1:5" x14ac:dyDescent="0.2">
      <c r="A16" t="s">
        <v>339</v>
      </c>
      <c r="B16" s="4" t="s">
        <v>326</v>
      </c>
      <c r="C16" s="4">
        <v>30</v>
      </c>
      <c r="D16" s="4">
        <v>28</v>
      </c>
      <c r="E16" s="4">
        <v>36</v>
      </c>
    </row>
    <row r="17" spans="1:5" x14ac:dyDescent="0.2">
      <c r="A17" t="s">
        <v>339</v>
      </c>
      <c r="B17" s="4" t="s">
        <v>325</v>
      </c>
      <c r="C17" s="4">
        <v>36</v>
      </c>
      <c r="D17" s="4">
        <v>22</v>
      </c>
      <c r="E17" s="4">
        <v>36</v>
      </c>
    </row>
    <row r="18" spans="1:5" x14ac:dyDescent="0.2">
      <c r="A18" t="s">
        <v>339</v>
      </c>
      <c r="B18" s="4" t="s">
        <v>322</v>
      </c>
      <c r="C18" s="4">
        <v>44</v>
      </c>
      <c r="D18" s="4">
        <v>15</v>
      </c>
      <c r="E18" s="4">
        <v>35</v>
      </c>
    </row>
    <row r="19" spans="1:5" x14ac:dyDescent="0.2">
      <c r="A19" t="s">
        <v>340</v>
      </c>
      <c r="B19" s="4" t="s">
        <v>324</v>
      </c>
      <c r="C19" s="4">
        <v>42</v>
      </c>
      <c r="D19" s="4">
        <v>16</v>
      </c>
      <c r="E19" s="4">
        <v>36</v>
      </c>
    </row>
    <row r="20" spans="1:5" x14ac:dyDescent="0.2">
      <c r="A20" t="s">
        <v>340</v>
      </c>
      <c r="B20" s="4" t="s">
        <v>323</v>
      </c>
      <c r="C20" s="4">
        <v>40</v>
      </c>
      <c r="D20" s="4">
        <v>18</v>
      </c>
      <c r="E20" s="4">
        <v>36</v>
      </c>
    </row>
    <row r="21" spans="1:5" x14ac:dyDescent="0.2">
      <c r="A21" t="s">
        <v>340</v>
      </c>
      <c r="B21" s="4" t="s">
        <v>325</v>
      </c>
      <c r="C21" s="4">
        <v>38</v>
      </c>
      <c r="D21" s="4">
        <v>18</v>
      </c>
      <c r="E21" s="4">
        <v>38</v>
      </c>
    </row>
    <row r="22" spans="1:5" x14ac:dyDescent="0.2">
      <c r="A22" t="s">
        <v>340</v>
      </c>
      <c r="B22" s="4" t="s">
        <v>322</v>
      </c>
      <c r="C22" s="4">
        <v>50</v>
      </c>
      <c r="D22" s="4">
        <v>9</v>
      </c>
      <c r="E22" s="4">
        <v>35</v>
      </c>
    </row>
    <row r="23" spans="1:5" x14ac:dyDescent="0.2">
      <c r="A23" t="s">
        <v>341</v>
      </c>
      <c r="B23" s="4" t="s">
        <v>324</v>
      </c>
      <c r="C23" s="4">
        <v>33</v>
      </c>
      <c r="D23" s="4">
        <v>24</v>
      </c>
      <c r="E23" s="4">
        <v>37</v>
      </c>
    </row>
    <row r="24" spans="1:5" x14ac:dyDescent="0.2">
      <c r="A24" t="s">
        <v>341</v>
      </c>
      <c r="B24" s="4" t="s">
        <v>323</v>
      </c>
      <c r="C24" s="4">
        <v>33</v>
      </c>
      <c r="D24" s="4">
        <v>22</v>
      </c>
      <c r="E24" s="4">
        <v>39</v>
      </c>
    </row>
    <row r="25" spans="1:5" x14ac:dyDescent="0.2">
      <c r="A25" t="s">
        <v>341</v>
      </c>
      <c r="B25" s="4" t="s">
        <v>322</v>
      </c>
      <c r="C25" s="4">
        <v>41</v>
      </c>
      <c r="D25" s="4">
        <v>18</v>
      </c>
      <c r="E25" s="4">
        <v>35</v>
      </c>
    </row>
    <row r="26" spans="1:5" x14ac:dyDescent="0.2">
      <c r="A26" t="s">
        <v>342</v>
      </c>
      <c r="B26" s="4" t="s">
        <v>323</v>
      </c>
      <c r="C26" s="4">
        <v>34</v>
      </c>
      <c r="D26" s="4">
        <v>28</v>
      </c>
      <c r="E26" s="4">
        <v>32</v>
      </c>
    </row>
    <row r="27" spans="1:5" x14ac:dyDescent="0.2">
      <c r="A27" t="s">
        <v>342</v>
      </c>
      <c r="B27" s="4" t="s">
        <v>322</v>
      </c>
      <c r="C27" s="4">
        <v>37</v>
      </c>
      <c r="D27" s="4">
        <v>20</v>
      </c>
      <c r="E27" s="4">
        <v>37</v>
      </c>
    </row>
    <row r="28" spans="1:5" x14ac:dyDescent="0.2">
      <c r="A28" t="s">
        <v>343</v>
      </c>
      <c r="B28" s="4" t="s">
        <v>322</v>
      </c>
      <c r="C28" s="4">
        <v>40</v>
      </c>
      <c r="D28" s="4">
        <v>22</v>
      </c>
      <c r="E28" s="4">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30794-A68D-5A46-9DB2-4C40DDB83B1D}">
  <dimension ref="A1:H63"/>
  <sheetViews>
    <sheetView workbookViewId="0">
      <selection activeCell="I2" sqref="I2"/>
    </sheetView>
  </sheetViews>
  <sheetFormatPr baseColWidth="10" defaultRowHeight="15" x14ac:dyDescent="0.2"/>
  <sheetData>
    <row r="1" spans="1:8" x14ac:dyDescent="0.2">
      <c r="A1">
        <v>0</v>
      </c>
      <c r="B1">
        <v>1</v>
      </c>
      <c r="C1">
        <v>2</v>
      </c>
      <c r="D1">
        <v>3</v>
      </c>
      <c r="E1">
        <v>4</v>
      </c>
      <c r="F1">
        <v>5</v>
      </c>
      <c r="G1">
        <v>6</v>
      </c>
      <c r="H1">
        <v>7</v>
      </c>
    </row>
    <row r="2" spans="1:8" x14ac:dyDescent="0.2">
      <c r="A2">
        <v>8</v>
      </c>
      <c r="B2">
        <v>5</v>
      </c>
      <c r="C2">
        <v>1</v>
      </c>
      <c r="D2">
        <v>7</v>
      </c>
      <c r="E2">
        <v>4</v>
      </c>
      <c r="F2">
        <v>3</v>
      </c>
      <c r="G2">
        <v>2</v>
      </c>
      <c r="H2">
        <v>6</v>
      </c>
    </row>
    <row r="3" spans="1:8" x14ac:dyDescent="0.2">
      <c r="A3">
        <v>8</v>
      </c>
      <c r="B3">
        <v>3</v>
      </c>
      <c r="C3">
        <v>2</v>
      </c>
      <c r="D3">
        <v>4</v>
      </c>
      <c r="E3">
        <v>6</v>
      </c>
      <c r="F3">
        <v>5</v>
      </c>
      <c r="G3">
        <v>1</v>
      </c>
      <c r="H3">
        <v>7</v>
      </c>
    </row>
    <row r="4" spans="1:8" x14ac:dyDescent="0.2">
      <c r="A4">
        <v>6</v>
      </c>
      <c r="B4">
        <v>1</v>
      </c>
      <c r="C4">
        <v>4</v>
      </c>
      <c r="D4">
        <v>7</v>
      </c>
      <c r="E4">
        <v>5</v>
      </c>
      <c r="F4">
        <v>3</v>
      </c>
      <c r="G4">
        <v>3</v>
      </c>
      <c r="H4">
        <v>8</v>
      </c>
    </row>
    <row r="5" spans="1:8" x14ac:dyDescent="0.2">
      <c r="A5">
        <v>3</v>
      </c>
      <c r="B5">
        <v>2</v>
      </c>
      <c r="C5">
        <v>7</v>
      </c>
      <c r="D5">
        <v>5</v>
      </c>
      <c r="E5">
        <v>4</v>
      </c>
      <c r="F5">
        <v>6</v>
      </c>
      <c r="G5">
        <v>1</v>
      </c>
      <c r="H5">
        <v>8</v>
      </c>
    </row>
    <row r="6" spans="1:8" x14ac:dyDescent="0.2">
      <c r="A6">
        <v>2</v>
      </c>
      <c r="B6">
        <v>1</v>
      </c>
      <c r="C6">
        <v>4</v>
      </c>
      <c r="D6">
        <v>6</v>
      </c>
      <c r="E6">
        <v>8</v>
      </c>
      <c r="F6">
        <v>5</v>
      </c>
      <c r="G6">
        <v>3</v>
      </c>
      <c r="H6">
        <v>7</v>
      </c>
    </row>
    <row r="7" spans="1:8" x14ac:dyDescent="0.2">
      <c r="A7">
        <v>7</v>
      </c>
      <c r="B7">
        <v>2</v>
      </c>
      <c r="C7">
        <v>3</v>
      </c>
      <c r="D7">
        <v>6</v>
      </c>
      <c r="E7">
        <v>4</v>
      </c>
      <c r="F7">
        <v>7</v>
      </c>
      <c r="G7">
        <v>1</v>
      </c>
      <c r="H7">
        <v>5</v>
      </c>
    </row>
    <row r="8" spans="1:8" x14ac:dyDescent="0.2">
      <c r="A8">
        <v>8</v>
      </c>
      <c r="B8">
        <v>8</v>
      </c>
      <c r="C8">
        <v>1</v>
      </c>
      <c r="D8">
        <v>3</v>
      </c>
      <c r="E8">
        <v>2</v>
      </c>
      <c r="F8">
        <v>8</v>
      </c>
      <c r="G8">
        <v>3</v>
      </c>
      <c r="H8">
        <v>4</v>
      </c>
    </row>
    <row r="9" spans="1:8" x14ac:dyDescent="0.2">
      <c r="A9">
        <v>6</v>
      </c>
      <c r="B9">
        <v>1</v>
      </c>
      <c r="C9">
        <v>2</v>
      </c>
      <c r="D9">
        <v>8</v>
      </c>
      <c r="E9">
        <v>4</v>
      </c>
      <c r="F9">
        <v>3</v>
      </c>
      <c r="G9">
        <v>5</v>
      </c>
      <c r="H9">
        <v>7</v>
      </c>
    </row>
    <row r="10" spans="1:8" x14ac:dyDescent="0.2">
      <c r="A10">
        <v>6</v>
      </c>
      <c r="B10">
        <v>1</v>
      </c>
      <c r="C10">
        <v>8</v>
      </c>
      <c r="D10">
        <v>8</v>
      </c>
      <c r="E10">
        <v>8</v>
      </c>
      <c r="F10">
        <v>3</v>
      </c>
      <c r="G10">
        <v>6</v>
      </c>
      <c r="H10">
        <v>7</v>
      </c>
    </row>
    <row r="11" spans="1:8" x14ac:dyDescent="0.2">
      <c r="A11">
        <v>6</v>
      </c>
      <c r="B11">
        <v>1</v>
      </c>
      <c r="C11">
        <v>2</v>
      </c>
      <c r="D11">
        <v>7</v>
      </c>
      <c r="E11">
        <v>4</v>
      </c>
      <c r="F11">
        <v>3</v>
      </c>
      <c r="G11">
        <v>5</v>
      </c>
      <c r="H11">
        <v>8</v>
      </c>
    </row>
    <row r="12" spans="1:8" x14ac:dyDescent="0.2">
      <c r="A12">
        <v>1</v>
      </c>
      <c r="B12">
        <v>2</v>
      </c>
      <c r="C12">
        <v>6</v>
      </c>
      <c r="D12">
        <v>5</v>
      </c>
      <c r="E12">
        <v>7</v>
      </c>
      <c r="F12">
        <v>4</v>
      </c>
      <c r="G12">
        <v>3</v>
      </c>
      <c r="H12">
        <v>8</v>
      </c>
    </row>
    <row r="13" spans="1:8" x14ac:dyDescent="0.2">
      <c r="A13">
        <v>1</v>
      </c>
      <c r="B13">
        <v>5</v>
      </c>
      <c r="C13">
        <v>7</v>
      </c>
      <c r="D13">
        <v>6</v>
      </c>
      <c r="E13">
        <v>3</v>
      </c>
      <c r="F13">
        <v>8</v>
      </c>
      <c r="G13">
        <v>2</v>
      </c>
      <c r="H13">
        <v>4</v>
      </c>
    </row>
    <row r="14" spans="1:8" x14ac:dyDescent="0.2">
      <c r="A14">
        <v>2</v>
      </c>
      <c r="B14">
        <v>1</v>
      </c>
      <c r="C14">
        <v>5</v>
      </c>
      <c r="D14">
        <v>8</v>
      </c>
      <c r="E14">
        <v>8</v>
      </c>
      <c r="F14">
        <v>8</v>
      </c>
      <c r="G14">
        <v>6</v>
      </c>
      <c r="H14">
        <v>7</v>
      </c>
    </row>
    <row r="15" spans="1:8" x14ac:dyDescent="0.2">
      <c r="A15">
        <v>4</v>
      </c>
      <c r="B15">
        <v>4</v>
      </c>
      <c r="C15">
        <v>3</v>
      </c>
      <c r="D15">
        <v>2</v>
      </c>
      <c r="E15">
        <v>4</v>
      </c>
      <c r="F15">
        <v>4</v>
      </c>
      <c r="G15">
        <v>4</v>
      </c>
      <c r="H15">
        <v>1</v>
      </c>
    </row>
    <row r="16" spans="1:8" x14ac:dyDescent="0.2">
      <c r="A16">
        <v>2</v>
      </c>
      <c r="B16">
        <v>1</v>
      </c>
      <c r="C16">
        <v>6</v>
      </c>
      <c r="D16">
        <v>8</v>
      </c>
      <c r="E16">
        <v>5</v>
      </c>
      <c r="F16">
        <v>7</v>
      </c>
      <c r="G16">
        <v>4</v>
      </c>
      <c r="H16">
        <v>3</v>
      </c>
    </row>
    <row r="17" spans="1:8" x14ac:dyDescent="0.2">
      <c r="A17">
        <v>4</v>
      </c>
      <c r="B17">
        <v>3</v>
      </c>
      <c r="C17">
        <v>8</v>
      </c>
      <c r="D17">
        <v>7</v>
      </c>
      <c r="E17">
        <v>6</v>
      </c>
      <c r="F17">
        <v>1</v>
      </c>
      <c r="G17">
        <v>2</v>
      </c>
      <c r="H17">
        <v>5</v>
      </c>
    </row>
    <row r="18" spans="1:8" x14ac:dyDescent="0.2">
      <c r="A18">
        <v>8</v>
      </c>
      <c r="B18">
        <v>3</v>
      </c>
      <c r="C18">
        <v>4</v>
      </c>
      <c r="D18">
        <v>8</v>
      </c>
      <c r="E18">
        <v>8</v>
      </c>
      <c r="F18">
        <v>4</v>
      </c>
      <c r="G18">
        <v>1</v>
      </c>
      <c r="H18">
        <v>7</v>
      </c>
    </row>
    <row r="19" spans="1:8" x14ac:dyDescent="0.2">
      <c r="A19">
        <v>2</v>
      </c>
      <c r="B19">
        <v>1</v>
      </c>
      <c r="C19">
        <v>8</v>
      </c>
      <c r="D19">
        <v>6</v>
      </c>
      <c r="E19">
        <v>4</v>
      </c>
      <c r="F19">
        <v>7</v>
      </c>
      <c r="G19">
        <v>3</v>
      </c>
      <c r="H19">
        <v>5</v>
      </c>
    </row>
    <row r="20" spans="1:8" x14ac:dyDescent="0.2">
      <c r="A20">
        <v>3</v>
      </c>
      <c r="B20">
        <v>7</v>
      </c>
      <c r="C20">
        <v>1</v>
      </c>
      <c r="D20">
        <v>8</v>
      </c>
      <c r="E20">
        <v>5</v>
      </c>
      <c r="F20">
        <v>4</v>
      </c>
      <c r="G20">
        <v>2</v>
      </c>
      <c r="H20">
        <v>6</v>
      </c>
    </row>
    <row r="21" spans="1:8" x14ac:dyDescent="0.2">
      <c r="A21">
        <v>6</v>
      </c>
      <c r="B21">
        <v>4</v>
      </c>
      <c r="C21">
        <v>3</v>
      </c>
      <c r="D21">
        <v>7</v>
      </c>
      <c r="E21">
        <v>2</v>
      </c>
      <c r="F21">
        <v>5</v>
      </c>
      <c r="G21">
        <v>1</v>
      </c>
      <c r="H21">
        <v>8</v>
      </c>
    </row>
    <row r="22" spans="1:8" x14ac:dyDescent="0.2">
      <c r="A22">
        <v>8</v>
      </c>
      <c r="B22">
        <v>4</v>
      </c>
      <c r="C22">
        <v>3</v>
      </c>
      <c r="D22">
        <v>6</v>
      </c>
      <c r="E22">
        <v>7</v>
      </c>
      <c r="F22">
        <v>1</v>
      </c>
      <c r="G22">
        <v>2</v>
      </c>
      <c r="H22">
        <v>5</v>
      </c>
    </row>
    <row r="23" spans="1:8" x14ac:dyDescent="0.2">
      <c r="A23">
        <v>8</v>
      </c>
      <c r="B23">
        <v>4</v>
      </c>
      <c r="C23">
        <v>1</v>
      </c>
      <c r="D23">
        <v>8</v>
      </c>
      <c r="E23">
        <v>8</v>
      </c>
      <c r="F23">
        <v>3</v>
      </c>
      <c r="G23">
        <v>2</v>
      </c>
      <c r="H23">
        <v>5</v>
      </c>
    </row>
    <row r="24" spans="1:8" x14ac:dyDescent="0.2">
      <c r="A24">
        <v>2</v>
      </c>
      <c r="B24">
        <v>5</v>
      </c>
      <c r="C24">
        <v>1</v>
      </c>
      <c r="D24">
        <v>6</v>
      </c>
      <c r="E24">
        <v>7</v>
      </c>
      <c r="F24">
        <v>4</v>
      </c>
      <c r="G24">
        <v>3</v>
      </c>
      <c r="H24">
        <v>8</v>
      </c>
    </row>
    <row r="25" spans="1:8" x14ac:dyDescent="0.2">
      <c r="A25">
        <v>6</v>
      </c>
      <c r="B25">
        <v>5</v>
      </c>
      <c r="C25">
        <v>1</v>
      </c>
      <c r="D25">
        <v>8</v>
      </c>
      <c r="E25">
        <v>4</v>
      </c>
      <c r="F25">
        <v>3</v>
      </c>
      <c r="G25">
        <v>2</v>
      </c>
      <c r="H25">
        <v>7</v>
      </c>
    </row>
    <row r="26" spans="1:8" x14ac:dyDescent="0.2">
      <c r="A26">
        <v>8</v>
      </c>
      <c r="B26">
        <v>3</v>
      </c>
      <c r="C26">
        <v>2</v>
      </c>
      <c r="D26">
        <v>7</v>
      </c>
      <c r="E26">
        <v>4</v>
      </c>
      <c r="F26">
        <v>5</v>
      </c>
      <c r="G26">
        <v>1</v>
      </c>
      <c r="H26">
        <v>6</v>
      </c>
    </row>
    <row r="27" spans="1:8" x14ac:dyDescent="0.2">
      <c r="A27">
        <v>1</v>
      </c>
      <c r="B27">
        <v>4</v>
      </c>
      <c r="C27">
        <v>2</v>
      </c>
      <c r="D27">
        <v>7</v>
      </c>
      <c r="E27">
        <v>8</v>
      </c>
      <c r="F27">
        <v>3</v>
      </c>
      <c r="G27">
        <v>5</v>
      </c>
      <c r="H27">
        <v>6</v>
      </c>
    </row>
    <row r="28" spans="1:8" x14ac:dyDescent="0.2">
      <c r="A28">
        <v>7</v>
      </c>
      <c r="B28">
        <v>1</v>
      </c>
      <c r="C28">
        <v>6</v>
      </c>
      <c r="D28">
        <v>7</v>
      </c>
      <c r="E28">
        <v>1</v>
      </c>
      <c r="F28">
        <v>6</v>
      </c>
      <c r="G28">
        <v>1</v>
      </c>
      <c r="H28">
        <v>8</v>
      </c>
    </row>
    <row r="29" spans="1:8" x14ac:dyDescent="0.2">
      <c r="A29">
        <v>4</v>
      </c>
      <c r="B29">
        <v>5</v>
      </c>
      <c r="C29">
        <v>3</v>
      </c>
      <c r="D29">
        <v>6</v>
      </c>
      <c r="E29">
        <v>6</v>
      </c>
      <c r="F29">
        <v>2</v>
      </c>
      <c r="G29">
        <v>1</v>
      </c>
      <c r="H29">
        <v>8</v>
      </c>
    </row>
    <row r="30" spans="1:8" x14ac:dyDescent="0.2">
      <c r="A30">
        <v>1</v>
      </c>
      <c r="B30">
        <v>2</v>
      </c>
      <c r="C30">
        <v>7</v>
      </c>
      <c r="D30">
        <v>8</v>
      </c>
      <c r="E30">
        <v>6</v>
      </c>
      <c r="F30">
        <v>4</v>
      </c>
      <c r="G30">
        <v>3</v>
      </c>
      <c r="H30">
        <v>5</v>
      </c>
    </row>
    <row r="31" spans="1:8" x14ac:dyDescent="0.2">
      <c r="A31">
        <v>7</v>
      </c>
      <c r="B31">
        <v>6</v>
      </c>
      <c r="C31">
        <v>3</v>
      </c>
      <c r="D31">
        <v>5</v>
      </c>
      <c r="E31">
        <v>4</v>
      </c>
      <c r="F31">
        <v>2</v>
      </c>
      <c r="G31">
        <v>1</v>
      </c>
      <c r="H31">
        <v>8</v>
      </c>
    </row>
    <row r="32" spans="1:8" x14ac:dyDescent="0.2">
      <c r="A32">
        <v>7</v>
      </c>
      <c r="B32">
        <v>2</v>
      </c>
      <c r="C32">
        <v>4</v>
      </c>
      <c r="D32">
        <v>6</v>
      </c>
      <c r="E32">
        <v>3</v>
      </c>
      <c r="F32">
        <v>5</v>
      </c>
      <c r="G32">
        <v>1</v>
      </c>
      <c r="H32">
        <v>8</v>
      </c>
    </row>
    <row r="33" spans="1:8" x14ac:dyDescent="0.2">
      <c r="A33">
        <v>8</v>
      </c>
      <c r="B33">
        <v>1</v>
      </c>
      <c r="C33">
        <v>4</v>
      </c>
      <c r="D33">
        <v>6</v>
      </c>
      <c r="E33">
        <v>5</v>
      </c>
      <c r="F33">
        <v>3</v>
      </c>
      <c r="G33">
        <v>2</v>
      </c>
      <c r="H33">
        <v>7</v>
      </c>
    </row>
    <row r="34" spans="1:8" x14ac:dyDescent="0.2">
      <c r="A34">
        <v>4</v>
      </c>
      <c r="B34">
        <v>2</v>
      </c>
      <c r="C34">
        <v>4</v>
      </c>
      <c r="D34">
        <v>4</v>
      </c>
      <c r="E34">
        <v>3</v>
      </c>
      <c r="F34">
        <v>2</v>
      </c>
      <c r="G34">
        <v>1</v>
      </c>
      <c r="H34">
        <v>8</v>
      </c>
    </row>
    <row r="35" spans="1:8" x14ac:dyDescent="0.2">
      <c r="A35">
        <v>5</v>
      </c>
      <c r="B35">
        <v>4</v>
      </c>
      <c r="C35">
        <v>3</v>
      </c>
      <c r="D35">
        <v>7</v>
      </c>
      <c r="E35">
        <v>6</v>
      </c>
      <c r="F35">
        <v>1</v>
      </c>
      <c r="G35">
        <v>2</v>
      </c>
      <c r="H35">
        <v>8</v>
      </c>
    </row>
    <row r="36" spans="1:8" x14ac:dyDescent="0.2">
      <c r="A36">
        <v>5</v>
      </c>
      <c r="B36">
        <v>2</v>
      </c>
      <c r="C36">
        <v>1</v>
      </c>
      <c r="D36">
        <v>7</v>
      </c>
      <c r="E36">
        <v>3</v>
      </c>
      <c r="F36">
        <v>4</v>
      </c>
      <c r="G36">
        <v>2</v>
      </c>
      <c r="H36">
        <v>8</v>
      </c>
    </row>
    <row r="37" spans="1:8" x14ac:dyDescent="0.2">
      <c r="A37">
        <v>6</v>
      </c>
      <c r="B37">
        <v>1</v>
      </c>
      <c r="C37">
        <v>4</v>
      </c>
      <c r="D37">
        <v>7</v>
      </c>
      <c r="E37">
        <v>5</v>
      </c>
      <c r="F37">
        <v>2</v>
      </c>
      <c r="G37">
        <v>3</v>
      </c>
      <c r="H37">
        <v>8</v>
      </c>
    </row>
    <row r="38" spans="1:8" x14ac:dyDescent="0.2">
      <c r="A38">
        <v>1</v>
      </c>
      <c r="B38">
        <v>5</v>
      </c>
      <c r="C38">
        <v>3</v>
      </c>
      <c r="D38">
        <v>2</v>
      </c>
      <c r="E38">
        <v>4</v>
      </c>
      <c r="F38">
        <v>8</v>
      </c>
      <c r="G38">
        <v>6</v>
      </c>
      <c r="H38">
        <v>7</v>
      </c>
    </row>
    <row r="39" spans="1:8" x14ac:dyDescent="0.2">
      <c r="A39">
        <v>5</v>
      </c>
      <c r="B39">
        <v>2</v>
      </c>
      <c r="C39">
        <v>4</v>
      </c>
      <c r="D39">
        <v>8</v>
      </c>
      <c r="E39">
        <v>7</v>
      </c>
      <c r="F39">
        <v>6</v>
      </c>
      <c r="G39">
        <v>1</v>
      </c>
      <c r="H39">
        <v>3</v>
      </c>
    </row>
    <row r="40" spans="1:8" x14ac:dyDescent="0.2">
      <c r="A40">
        <v>7</v>
      </c>
      <c r="B40">
        <v>3</v>
      </c>
      <c r="C40">
        <v>2</v>
      </c>
      <c r="D40">
        <v>4</v>
      </c>
      <c r="E40">
        <v>1</v>
      </c>
      <c r="F40">
        <v>6</v>
      </c>
      <c r="G40">
        <v>5</v>
      </c>
      <c r="H40">
        <v>8</v>
      </c>
    </row>
    <row r="41" spans="1:8" x14ac:dyDescent="0.2">
      <c r="A41">
        <v>5</v>
      </c>
      <c r="B41">
        <v>5</v>
      </c>
      <c r="C41">
        <v>4</v>
      </c>
      <c r="D41">
        <v>7</v>
      </c>
      <c r="E41">
        <v>4</v>
      </c>
      <c r="F41">
        <v>4</v>
      </c>
      <c r="G41">
        <v>3</v>
      </c>
      <c r="H41">
        <v>8</v>
      </c>
    </row>
    <row r="42" spans="1:8" x14ac:dyDescent="0.2">
      <c r="A42">
        <v>1</v>
      </c>
      <c r="B42">
        <v>2</v>
      </c>
      <c r="C42">
        <v>7</v>
      </c>
      <c r="D42">
        <v>8</v>
      </c>
      <c r="E42">
        <v>5</v>
      </c>
      <c r="F42">
        <v>3</v>
      </c>
      <c r="G42">
        <v>6</v>
      </c>
      <c r="H42">
        <v>4</v>
      </c>
    </row>
    <row r="43" spans="1:8" x14ac:dyDescent="0.2">
      <c r="A43">
        <v>8</v>
      </c>
      <c r="B43">
        <v>4</v>
      </c>
      <c r="C43">
        <v>2</v>
      </c>
      <c r="D43">
        <v>8</v>
      </c>
      <c r="E43">
        <v>1</v>
      </c>
      <c r="F43">
        <v>2</v>
      </c>
      <c r="G43">
        <v>3</v>
      </c>
      <c r="H43">
        <v>8</v>
      </c>
    </row>
    <row r="44" spans="1:8" x14ac:dyDescent="0.2">
      <c r="A44">
        <v>5</v>
      </c>
      <c r="B44">
        <v>4</v>
      </c>
      <c r="C44">
        <v>3</v>
      </c>
      <c r="D44">
        <v>7</v>
      </c>
      <c r="E44">
        <v>6</v>
      </c>
      <c r="F44">
        <v>1</v>
      </c>
      <c r="G44">
        <v>2</v>
      </c>
      <c r="H44">
        <v>8</v>
      </c>
    </row>
    <row r="45" spans="1:8" x14ac:dyDescent="0.2">
      <c r="A45">
        <v>3</v>
      </c>
      <c r="B45">
        <v>2</v>
      </c>
      <c r="C45">
        <v>8</v>
      </c>
      <c r="D45">
        <v>8</v>
      </c>
      <c r="E45">
        <v>8</v>
      </c>
      <c r="F45">
        <v>4</v>
      </c>
      <c r="G45">
        <v>1</v>
      </c>
      <c r="H45">
        <v>7</v>
      </c>
    </row>
    <row r="46" spans="1:8" x14ac:dyDescent="0.2">
      <c r="A46">
        <v>8</v>
      </c>
      <c r="B46">
        <v>4</v>
      </c>
      <c r="C46">
        <v>1</v>
      </c>
      <c r="D46">
        <v>7</v>
      </c>
      <c r="E46">
        <v>6</v>
      </c>
      <c r="F46">
        <v>2</v>
      </c>
      <c r="G46">
        <v>3</v>
      </c>
      <c r="H46">
        <v>5</v>
      </c>
    </row>
    <row r="47" spans="1:8" x14ac:dyDescent="0.2">
      <c r="A47">
        <v>7</v>
      </c>
      <c r="B47">
        <v>1</v>
      </c>
      <c r="C47">
        <v>5</v>
      </c>
      <c r="D47">
        <v>8</v>
      </c>
      <c r="E47">
        <v>3</v>
      </c>
      <c r="F47">
        <v>6</v>
      </c>
      <c r="G47">
        <v>2</v>
      </c>
      <c r="H47">
        <v>4</v>
      </c>
    </row>
    <row r="48" spans="1:8" x14ac:dyDescent="0.2">
      <c r="A48">
        <v>5</v>
      </c>
      <c r="B48">
        <v>4</v>
      </c>
      <c r="C48">
        <v>3</v>
      </c>
      <c r="D48">
        <v>6</v>
      </c>
      <c r="E48">
        <v>7</v>
      </c>
      <c r="F48">
        <v>2</v>
      </c>
      <c r="G48">
        <v>1</v>
      </c>
      <c r="H48">
        <v>8</v>
      </c>
    </row>
    <row r="49" spans="1:8" x14ac:dyDescent="0.2">
      <c r="A49">
        <v>3</v>
      </c>
      <c r="B49">
        <v>2</v>
      </c>
      <c r="C49">
        <v>4</v>
      </c>
      <c r="D49">
        <v>7</v>
      </c>
      <c r="E49">
        <v>6</v>
      </c>
      <c r="F49">
        <v>5</v>
      </c>
      <c r="G49">
        <v>1</v>
      </c>
      <c r="H49">
        <v>8</v>
      </c>
    </row>
    <row r="50" spans="1:8" x14ac:dyDescent="0.2">
      <c r="A50">
        <v>3</v>
      </c>
      <c r="B50">
        <v>6</v>
      </c>
      <c r="C50">
        <v>5</v>
      </c>
      <c r="D50">
        <v>8</v>
      </c>
      <c r="E50">
        <v>7</v>
      </c>
      <c r="F50">
        <v>2</v>
      </c>
      <c r="G50">
        <v>1</v>
      </c>
      <c r="H50">
        <v>4</v>
      </c>
    </row>
    <row r="51" spans="1:8" x14ac:dyDescent="0.2">
      <c r="A51">
        <v>1</v>
      </c>
      <c r="B51">
        <v>5</v>
      </c>
      <c r="C51">
        <v>4</v>
      </c>
      <c r="D51">
        <v>8</v>
      </c>
      <c r="E51">
        <v>7</v>
      </c>
      <c r="F51">
        <v>2</v>
      </c>
      <c r="G51">
        <v>3</v>
      </c>
      <c r="H51">
        <v>6</v>
      </c>
    </row>
    <row r="52" spans="1:8" x14ac:dyDescent="0.2">
      <c r="A52">
        <v>6</v>
      </c>
      <c r="B52">
        <v>5</v>
      </c>
      <c r="C52">
        <v>1</v>
      </c>
      <c r="D52">
        <v>7</v>
      </c>
      <c r="E52">
        <v>4</v>
      </c>
      <c r="F52">
        <v>2</v>
      </c>
      <c r="G52">
        <v>3</v>
      </c>
      <c r="H52">
        <v>8</v>
      </c>
    </row>
    <row r="53" spans="1:8" x14ac:dyDescent="0.2">
      <c r="A53">
        <v>8</v>
      </c>
      <c r="B53">
        <v>6</v>
      </c>
      <c r="C53">
        <v>1</v>
      </c>
      <c r="D53">
        <v>4</v>
      </c>
      <c r="E53">
        <v>7</v>
      </c>
      <c r="F53">
        <v>2</v>
      </c>
      <c r="G53">
        <v>3</v>
      </c>
      <c r="H53">
        <v>5</v>
      </c>
    </row>
    <row r="54" spans="1:8" x14ac:dyDescent="0.2">
      <c r="A54">
        <v>1</v>
      </c>
      <c r="B54">
        <v>2</v>
      </c>
      <c r="C54">
        <v>8</v>
      </c>
      <c r="D54">
        <v>4</v>
      </c>
      <c r="E54">
        <v>7</v>
      </c>
      <c r="F54">
        <v>6</v>
      </c>
      <c r="G54">
        <v>5</v>
      </c>
      <c r="H54">
        <v>3</v>
      </c>
    </row>
    <row r="55" spans="1:8" x14ac:dyDescent="0.2">
      <c r="A55">
        <v>6</v>
      </c>
      <c r="B55">
        <v>6</v>
      </c>
      <c r="C55">
        <v>5</v>
      </c>
      <c r="D55">
        <v>3</v>
      </c>
      <c r="E55">
        <v>4</v>
      </c>
      <c r="F55">
        <v>1</v>
      </c>
      <c r="G55">
        <v>2</v>
      </c>
      <c r="H55">
        <v>8</v>
      </c>
    </row>
    <row r="56" spans="1:8" x14ac:dyDescent="0.2">
      <c r="A56">
        <v>1</v>
      </c>
      <c r="B56">
        <v>1</v>
      </c>
      <c r="C56">
        <v>6</v>
      </c>
      <c r="D56">
        <v>7</v>
      </c>
      <c r="E56">
        <v>6</v>
      </c>
      <c r="F56">
        <v>6</v>
      </c>
      <c r="G56">
        <v>1</v>
      </c>
      <c r="H56">
        <v>8</v>
      </c>
    </row>
    <row r="57" spans="1:8" x14ac:dyDescent="0.2">
      <c r="A57">
        <v>8</v>
      </c>
      <c r="B57">
        <v>8</v>
      </c>
      <c r="C57">
        <v>1</v>
      </c>
      <c r="D57">
        <v>8</v>
      </c>
      <c r="E57">
        <v>8</v>
      </c>
      <c r="F57">
        <v>8</v>
      </c>
      <c r="G57">
        <v>2</v>
      </c>
      <c r="H57">
        <v>3</v>
      </c>
    </row>
    <row r="58" spans="1:8" x14ac:dyDescent="0.2">
      <c r="A58">
        <v>8</v>
      </c>
      <c r="B58">
        <v>5</v>
      </c>
      <c r="C58">
        <v>2</v>
      </c>
      <c r="D58">
        <v>6</v>
      </c>
      <c r="E58">
        <v>6</v>
      </c>
      <c r="F58">
        <v>2</v>
      </c>
      <c r="G58">
        <v>1</v>
      </c>
      <c r="H58">
        <v>4</v>
      </c>
    </row>
    <row r="59" spans="1:8" x14ac:dyDescent="0.2">
      <c r="A59">
        <v>8</v>
      </c>
      <c r="B59">
        <v>7</v>
      </c>
      <c r="C59">
        <v>2</v>
      </c>
      <c r="D59">
        <v>4</v>
      </c>
      <c r="E59">
        <v>6</v>
      </c>
      <c r="F59">
        <v>3</v>
      </c>
      <c r="G59">
        <v>1</v>
      </c>
      <c r="H59">
        <v>5</v>
      </c>
    </row>
    <row r="60" spans="1:8" x14ac:dyDescent="0.2">
      <c r="A60">
        <v>3</v>
      </c>
      <c r="B60">
        <v>4</v>
      </c>
      <c r="C60">
        <v>2</v>
      </c>
      <c r="D60">
        <v>5</v>
      </c>
      <c r="E60">
        <v>1</v>
      </c>
      <c r="F60">
        <v>6</v>
      </c>
      <c r="G60">
        <v>7</v>
      </c>
      <c r="H60">
        <v>8</v>
      </c>
    </row>
    <row r="61" spans="1:8" x14ac:dyDescent="0.2">
      <c r="A61">
        <v>1</v>
      </c>
      <c r="B61">
        <v>8</v>
      </c>
      <c r="C61">
        <v>1</v>
      </c>
      <c r="D61">
        <v>1</v>
      </c>
      <c r="E61">
        <v>8</v>
      </c>
      <c r="F61">
        <v>8</v>
      </c>
      <c r="G61">
        <v>8</v>
      </c>
      <c r="H61">
        <v>8</v>
      </c>
    </row>
    <row r="62" spans="1:8" x14ac:dyDescent="0.2">
      <c r="A62">
        <v>3</v>
      </c>
      <c r="B62">
        <v>1</v>
      </c>
      <c r="C62">
        <v>8</v>
      </c>
      <c r="D62">
        <v>8</v>
      </c>
      <c r="E62">
        <v>5</v>
      </c>
      <c r="F62">
        <v>8</v>
      </c>
      <c r="G62">
        <v>2</v>
      </c>
      <c r="H62">
        <v>4</v>
      </c>
    </row>
    <row r="63" spans="1:8" x14ac:dyDescent="0.2">
      <c r="A63">
        <v>8</v>
      </c>
      <c r="B63">
        <v>7</v>
      </c>
      <c r="C63">
        <v>1</v>
      </c>
      <c r="D63">
        <v>5</v>
      </c>
      <c r="E63">
        <v>2</v>
      </c>
      <c r="F63">
        <v>3</v>
      </c>
      <c r="G63">
        <v>4</v>
      </c>
      <c r="H63">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data</vt:lpstr>
      <vt:lpstr>notes</vt:lpstr>
      <vt:lpstr>rank choice to binary</vt:lpstr>
      <vt:lpstr>Sheet4</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Streeter, Michael T</cp:lastModifiedBy>
  <dcterms:created xsi:type="dcterms:W3CDTF">2026-09-25T19:35:43Z</dcterms:created>
  <dcterms:modified xsi:type="dcterms:W3CDTF">2026-10-25T16:29:34Z</dcterms:modified>
</cp:coreProperties>
</file>